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APHAR\2026\GI CIKARANG\24062026 - TRAFO #1 GI CIKARANG\"/>
    </mc:Choice>
  </mc:AlternateContent>
  <xr:revisionPtr revIDLastSave="0" documentId="13_ncr:1_{E3D59F18-FE22-403E-BFD8-9825B82245D5}" xr6:coauthVersionLast="47" xr6:coauthVersionMax="47" xr10:uidLastSave="{00000000-0000-0000-0000-000000000000}"/>
  <bookViews>
    <workbookView xWindow="-108" yWindow="-108" windowWidth="23256" windowHeight="13896" xr2:uid="{856C3D4A-789E-48E6-868E-C2B3C4DF870B}"/>
  </bookViews>
  <sheets>
    <sheet name="COVER" sheetId="4" r:id="rId1"/>
    <sheet name="DIFF TRAFO" sheetId="8" r:id="rId2"/>
    <sheet name="OCR-GFR HV" sheetId="12" r:id="rId3"/>
    <sheet name="OCR-GFR LV" sheetId="15" r:id="rId4"/>
    <sheet name="SBEF" sheetId="13" r:id="rId5"/>
    <sheet name="UJI FUNGSI" sheetId="14" r:id="rId6"/>
    <sheet name="DATA VALIDASI" sheetId="7" state="hidden" r:id="rId7"/>
  </sheets>
  <definedNames>
    <definedName name="_xlnm.Print_Area" localSheetId="0">COVER!$B$2:$AD$51</definedName>
    <definedName name="_xlnm.Print_Area" localSheetId="1">'DIFF TRAFO'!$B$2:$AG$125</definedName>
    <definedName name="_xlnm.Print_Area" localSheetId="2">'OCR-GFR HV'!$B$2:$AG$79</definedName>
    <definedName name="_xlnm.Print_Area" localSheetId="3">'OCR-GFR LV'!$B$2:$AG$85</definedName>
    <definedName name="_xlnm.Print_Area" localSheetId="4">SBEF!$B$2:$AG$51</definedName>
    <definedName name="_xlnm.Print_Area" localSheetId="5">'UJI FUNGSI'!$B$2:$AD$50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89" i="8" l="1"/>
  <c r="R64" i="15"/>
  <c r="V64" i="15" s="1"/>
  <c r="R65" i="15"/>
  <c r="R66" i="15"/>
  <c r="V66" i="15" s="1"/>
  <c r="R63" i="15"/>
  <c r="V63" i="15" s="1"/>
  <c r="R60" i="12"/>
  <c r="V60" i="12" s="1"/>
  <c r="S62" i="12" s="1"/>
  <c r="X20" i="8"/>
  <c r="X21" i="8"/>
  <c r="X22" i="8"/>
  <c r="M19" i="13"/>
  <c r="M20" i="13" s="1"/>
  <c r="M16" i="13"/>
  <c r="U23" i="14"/>
  <c r="U24" i="14"/>
  <c r="X66" i="15"/>
  <c r="X65" i="15"/>
  <c r="V65" i="15"/>
  <c r="X64" i="15"/>
  <c r="X56" i="15"/>
  <c r="R56" i="15"/>
  <c r="V56" i="15" s="1"/>
  <c r="X55" i="15"/>
  <c r="R55" i="15"/>
  <c r="V55" i="15"/>
  <c r="X54" i="15"/>
  <c r="R54" i="15"/>
  <c r="V54" i="15" s="1"/>
  <c r="X63" i="15"/>
  <c r="X53" i="15"/>
  <c r="R53" i="15"/>
  <c r="V53" i="15" s="1"/>
  <c r="AB41" i="15"/>
  <c r="W41" i="15"/>
  <c r="W42" i="15" s="1"/>
  <c r="W44" i="15" s="1"/>
  <c r="R41" i="15"/>
  <c r="R42" i="15"/>
  <c r="R44" i="15" s="1"/>
  <c r="M41" i="15"/>
  <c r="M42" i="15" s="1"/>
  <c r="M44" i="15" s="1"/>
  <c r="AB37" i="15"/>
  <c r="AB38" i="15" s="1"/>
  <c r="AB40" i="15" s="1"/>
  <c r="W37" i="15"/>
  <c r="W38" i="15"/>
  <c r="W40" i="15" s="1"/>
  <c r="R37" i="15"/>
  <c r="R38" i="15" s="1"/>
  <c r="R40" i="15" s="1"/>
  <c r="M37" i="15"/>
  <c r="M38" i="15"/>
  <c r="M40" i="15" s="1"/>
  <c r="AB33" i="15"/>
  <c r="AB34" i="15" s="1"/>
  <c r="AB36" i="15" s="1"/>
  <c r="W33" i="15"/>
  <c r="W34" i="15" s="1"/>
  <c r="W36" i="15" s="1"/>
  <c r="R33" i="15"/>
  <c r="AG33" i="15" s="1"/>
  <c r="M33" i="15"/>
  <c r="AB29" i="15"/>
  <c r="AB30" i="15" s="1"/>
  <c r="AB32" i="15" s="1"/>
  <c r="W29" i="15"/>
  <c r="W30" i="15"/>
  <c r="W32" i="15"/>
  <c r="R29" i="15"/>
  <c r="R30" i="15" s="1"/>
  <c r="R32" i="15" s="1"/>
  <c r="M29" i="15"/>
  <c r="M30" i="15" s="1"/>
  <c r="M32" i="15" s="1"/>
  <c r="AB21" i="15"/>
  <c r="AB22" i="15" s="1"/>
  <c r="W21" i="15"/>
  <c r="W22" i="15" s="1"/>
  <c r="R21" i="15"/>
  <c r="R22" i="15" s="1"/>
  <c r="M21" i="15"/>
  <c r="M22" i="15" s="1"/>
  <c r="AB18" i="15"/>
  <c r="AB19" i="15" s="1"/>
  <c r="W18" i="15"/>
  <c r="W19" i="15" s="1"/>
  <c r="R18" i="15"/>
  <c r="R19" i="15" s="1"/>
  <c r="M18" i="15"/>
  <c r="M19" i="15" s="1"/>
  <c r="U22" i="14"/>
  <c r="U25" i="14"/>
  <c r="U26" i="14"/>
  <c r="U27" i="14"/>
  <c r="U28" i="14"/>
  <c r="U29" i="14"/>
  <c r="U30" i="14"/>
  <c r="U21" i="14"/>
  <c r="U11" i="14"/>
  <c r="U12" i="14"/>
  <c r="U13" i="14"/>
  <c r="U10" i="14"/>
  <c r="M34" i="15"/>
  <c r="M36" i="15" s="1"/>
  <c r="AB27" i="13"/>
  <c r="W27" i="13"/>
  <c r="W28" i="13" s="1"/>
  <c r="W30" i="13" s="1"/>
  <c r="W31" i="13" s="1"/>
  <c r="W32" i="13" s="1"/>
  <c r="R27" i="13"/>
  <c r="R28" i="13" s="1"/>
  <c r="R30" i="13" s="1"/>
  <c r="R31" i="13" s="1"/>
  <c r="R32" i="13" s="1"/>
  <c r="M27" i="13"/>
  <c r="M28" i="13" s="1"/>
  <c r="M30" i="13" s="1"/>
  <c r="M31" i="13" s="1"/>
  <c r="M32" i="13" s="1"/>
  <c r="M17" i="13"/>
  <c r="AG17" i="13" s="1"/>
  <c r="R53" i="12"/>
  <c r="V53" i="12" s="1"/>
  <c r="S55" i="12" s="1"/>
  <c r="AB41" i="12"/>
  <c r="AB42" i="12" s="1"/>
  <c r="AB44" i="12" s="1"/>
  <c r="AB37" i="12"/>
  <c r="AB38" i="12" s="1"/>
  <c r="AB40" i="12" s="1"/>
  <c r="AB33" i="12"/>
  <c r="AB34" i="12"/>
  <c r="AB36" i="12" s="1"/>
  <c r="AB29" i="12"/>
  <c r="AB30" i="12" s="1"/>
  <c r="AB32" i="12" s="1"/>
  <c r="X60" i="12"/>
  <c r="X53" i="12"/>
  <c r="W41" i="12"/>
  <c r="W42" i="12" s="1"/>
  <c r="W44" i="12" s="1"/>
  <c r="R41" i="12"/>
  <c r="R42" i="12" s="1"/>
  <c r="R44" i="12" s="1"/>
  <c r="M41" i="12"/>
  <c r="M42" i="12" s="1"/>
  <c r="M44" i="12" s="1"/>
  <c r="W37" i="12"/>
  <c r="W38" i="12" s="1"/>
  <c r="W40" i="12" s="1"/>
  <c r="R37" i="12"/>
  <c r="R38" i="12"/>
  <c r="R40" i="12" s="1"/>
  <c r="M37" i="12"/>
  <c r="M38" i="12" s="1"/>
  <c r="M40" i="12" s="1"/>
  <c r="W33" i="12"/>
  <c r="W34" i="12" s="1"/>
  <c r="W36" i="12" s="1"/>
  <c r="R33" i="12"/>
  <c r="AG33" i="12" s="1"/>
  <c r="M33" i="12"/>
  <c r="M34" i="12"/>
  <c r="M36" i="12" s="1"/>
  <c r="W29" i="12"/>
  <c r="W30" i="12" s="1"/>
  <c r="W32" i="12" s="1"/>
  <c r="R29" i="12"/>
  <c r="R30" i="12" s="1"/>
  <c r="R32" i="12" s="1"/>
  <c r="M29" i="12"/>
  <c r="M30" i="12" s="1"/>
  <c r="M32" i="12" s="1"/>
  <c r="AB21" i="12"/>
  <c r="AB22" i="12" s="1"/>
  <c r="W21" i="12"/>
  <c r="W22" i="12" s="1"/>
  <c r="R21" i="12"/>
  <c r="R22" i="12" s="1"/>
  <c r="M21" i="12"/>
  <c r="M22" i="12" s="1"/>
  <c r="AB18" i="12"/>
  <c r="AB19" i="12" s="1"/>
  <c r="W18" i="12"/>
  <c r="W19" i="12" s="1"/>
  <c r="R18" i="12"/>
  <c r="R19" i="12" s="1"/>
  <c r="M18" i="12"/>
  <c r="M19" i="12" s="1"/>
  <c r="AB28" i="13"/>
  <c r="AB30" i="13" s="1"/>
  <c r="AB31" i="13" s="1"/>
  <c r="AB32" i="13" s="1"/>
  <c r="AG27" i="13"/>
  <c r="N105" i="8"/>
  <c r="N104" i="8"/>
  <c r="X79" i="8"/>
  <c r="R79" i="8"/>
  <c r="V79" i="8" s="1"/>
  <c r="X78" i="8"/>
  <c r="R78" i="8"/>
  <c r="V78" i="8" s="1"/>
  <c r="S81" i="8" s="1"/>
  <c r="X71" i="8"/>
  <c r="R71" i="8"/>
  <c r="V71" i="8" s="1"/>
  <c r="X70" i="8"/>
  <c r="R70" i="8"/>
  <c r="V70" i="8" s="1"/>
  <c r="X97" i="8"/>
  <c r="R97" i="8"/>
  <c r="V97" i="8"/>
  <c r="X96" i="8"/>
  <c r="R96" i="8"/>
  <c r="V96" i="8" s="1"/>
  <c r="S99" i="8" s="1"/>
  <c r="R87" i="8"/>
  <c r="V87" i="8" s="1"/>
  <c r="R88" i="8"/>
  <c r="V88" i="8"/>
  <c r="R86" i="8"/>
  <c r="V86" i="8"/>
  <c r="R50" i="8"/>
  <c r="X88" i="8"/>
  <c r="X87" i="8"/>
  <c r="X86" i="8"/>
  <c r="X63" i="8"/>
  <c r="R63" i="8"/>
  <c r="V63" i="8"/>
  <c r="X62" i="8"/>
  <c r="R62" i="8"/>
  <c r="V62" i="8" s="1"/>
  <c r="S65" i="8" s="1"/>
  <c r="X61" i="8"/>
  <c r="R61" i="8"/>
  <c r="V61" i="8"/>
  <c r="X60" i="8"/>
  <c r="R60" i="8"/>
  <c r="V60" i="8"/>
  <c r="R40" i="8"/>
  <c r="V40" i="8" s="1"/>
  <c r="X43" i="8"/>
  <c r="R43" i="8"/>
  <c r="V43" i="8" s="1"/>
  <c r="X42" i="8"/>
  <c r="R42" i="8"/>
  <c r="V42" i="8" s="1"/>
  <c r="X41" i="8"/>
  <c r="R41" i="8"/>
  <c r="V41" i="8" s="1"/>
  <c r="X40" i="8"/>
  <c r="R21" i="8"/>
  <c r="V21" i="8" s="1"/>
  <c r="R22" i="8"/>
  <c r="V22" i="8" s="1"/>
  <c r="R23" i="8"/>
  <c r="V23" i="8" s="1"/>
  <c r="R20" i="8"/>
  <c r="V20" i="8" s="1"/>
  <c r="S107" i="8"/>
  <c r="X23" i="8"/>
  <c r="X53" i="8"/>
  <c r="R53" i="8"/>
  <c r="V53" i="8"/>
  <c r="R52" i="8"/>
  <c r="R51" i="8"/>
  <c r="X33" i="8"/>
  <c r="R33" i="8"/>
  <c r="V33" i="8"/>
  <c r="S35" i="8" s="1"/>
  <c r="R32" i="8"/>
  <c r="R31" i="8"/>
  <c r="R30" i="8"/>
  <c r="X13" i="8"/>
  <c r="R13" i="8"/>
  <c r="V13" i="8" s="1"/>
  <c r="S15" i="8" s="1"/>
  <c r="R12" i="8"/>
  <c r="R11" i="8"/>
  <c r="R10" i="8"/>
  <c r="D11" i="7"/>
  <c r="S55" i="8"/>
  <c r="R34" i="15" l="1"/>
  <c r="R36" i="15" s="1"/>
  <c r="R45" i="15" s="1"/>
  <c r="R46" i="15" s="1"/>
  <c r="R89" i="8"/>
  <c r="V89" i="8" s="1"/>
  <c r="S91" i="8" s="1"/>
  <c r="S73" i="8"/>
  <c r="S45" i="8"/>
  <c r="S25" i="8"/>
  <c r="S58" i="15"/>
  <c r="AG41" i="15"/>
  <c r="Q33" i="14"/>
  <c r="Q16" i="14"/>
  <c r="AG20" i="13"/>
  <c r="AG19" i="13"/>
  <c r="P34" i="13"/>
  <c r="P22" i="13"/>
  <c r="AG16" i="13"/>
  <c r="S68" i="15"/>
  <c r="M45" i="15"/>
  <c r="M46" i="15" s="1"/>
  <c r="AG22" i="15"/>
  <c r="AG21" i="15"/>
  <c r="AG18" i="15"/>
  <c r="AG19" i="15"/>
  <c r="S24" i="15"/>
  <c r="W45" i="15"/>
  <c r="W46" i="15" s="1"/>
  <c r="AB42" i="15"/>
  <c r="AB44" i="15" s="1"/>
  <c r="AB45" i="15" s="1"/>
  <c r="AB46" i="15" s="1"/>
  <c r="M45" i="12"/>
  <c r="M46" i="12" s="1"/>
  <c r="R34" i="12"/>
  <c r="R36" i="12" s="1"/>
  <c r="R45" i="12" s="1"/>
  <c r="R46" i="12" s="1"/>
  <c r="AG21" i="12"/>
  <c r="AG22" i="12"/>
  <c r="W45" i="12"/>
  <c r="W46" i="12" s="1"/>
  <c r="S24" i="12"/>
  <c r="AG19" i="12"/>
  <c r="AG18" i="12"/>
  <c r="AB45" i="12"/>
  <c r="AB46" i="12" s="1"/>
  <c r="AG41" i="12"/>
  <c r="S116" i="8" l="1"/>
  <c r="Q42" i="14"/>
  <c r="P43" i="13"/>
  <c r="S48" i="15"/>
  <c r="S77" i="15" s="1"/>
  <c r="S48" i="12"/>
  <c r="S71" i="12" s="1"/>
  <c r="O37" i="4" l="1"/>
</calcChain>
</file>

<file path=xl/sharedStrings.xml><?xml version="1.0" encoding="utf-8"?>
<sst xmlns="http://schemas.openxmlformats.org/spreadsheetml/2006/main" count="690" uniqueCount="269">
  <si>
    <t>UPT</t>
  </si>
  <si>
    <t>ULTG</t>
  </si>
  <si>
    <t>1.1</t>
  </si>
  <si>
    <t>NO</t>
  </si>
  <si>
    <t>Setting Arus  (Ampere)</t>
  </si>
  <si>
    <t>Hasil Uji Pickup Arus (Ampere)</t>
  </si>
  <si>
    <t>Indikasi</t>
  </si>
  <si>
    <t>1.2</t>
  </si>
  <si>
    <t>Assessment</t>
  </si>
  <si>
    <t>PT PLN (Persero) Transmisi Jawa Bagian Tengah</t>
  </si>
  <si>
    <t>:</t>
  </si>
  <si>
    <t>Nilai Error (Persen)</t>
  </si>
  <si>
    <t>1.3</t>
  </si>
  <si>
    <t>Item Pengujian</t>
  </si>
  <si>
    <t>1.4</t>
  </si>
  <si>
    <t>Evaluasi dan Keterangan</t>
  </si>
  <si>
    <t>1.5</t>
  </si>
  <si>
    <t>Kesimpulan :</t>
  </si>
  <si>
    <t>Pelaksana</t>
  </si>
  <si>
    <t>Supervisi</t>
  </si>
  <si>
    <t>Trip</t>
  </si>
  <si>
    <t>% Error</t>
  </si>
  <si>
    <t>1.6</t>
  </si>
  <si>
    <t>Parameter</t>
  </si>
  <si>
    <t>1.7</t>
  </si>
  <si>
    <t>R</t>
  </si>
  <si>
    <t>S</t>
  </si>
  <si>
    <t>T</t>
  </si>
  <si>
    <t>RST</t>
  </si>
  <si>
    <t>Non Aktif</t>
  </si>
  <si>
    <t>Aktif</t>
  </si>
  <si>
    <t>2.1</t>
  </si>
  <si>
    <t>2.2</t>
  </si>
  <si>
    <t>2.3</t>
  </si>
  <si>
    <t>2.4</t>
  </si>
  <si>
    <t>2.5</t>
  </si>
  <si>
    <t>2.6</t>
  </si>
  <si>
    <t>Hasil Pengujian (Trip / No Trip)</t>
  </si>
  <si>
    <t>Jenis Pengujian</t>
  </si>
  <si>
    <t>LCD Op</t>
  </si>
  <si>
    <t>Zone 1 Op</t>
  </si>
  <si>
    <t>Zone 2 Op</t>
  </si>
  <si>
    <t>Zone 3 Op</t>
  </si>
  <si>
    <t xml:space="preserve">LAPORAN TEKNIK PEMELIHARAAN RUTIN </t>
  </si>
  <si>
    <t>PT PLN (PERSERO) UNIT INDUK TRANSMISI</t>
  </si>
  <si>
    <t>JAWA BAGIAN TENGAH</t>
  </si>
  <si>
    <t xml:space="preserve">ULTG </t>
  </si>
  <si>
    <t>GI / GITET</t>
  </si>
  <si>
    <t>BAY</t>
  </si>
  <si>
    <t>Merk Relai</t>
  </si>
  <si>
    <t>Tipe Relai</t>
  </si>
  <si>
    <t>No Serie</t>
  </si>
  <si>
    <t>Tahun Operasi</t>
  </si>
  <si>
    <t>Alat Uji</t>
  </si>
  <si>
    <t>Rasio CT</t>
  </si>
  <si>
    <t>TANGGAL</t>
  </si>
  <si>
    <t>Spesifikasi Relai Proteksi Utama</t>
  </si>
  <si>
    <t>Hasil Assessment Proteksi</t>
  </si>
  <si>
    <t>KESIMPULAN HASIL PEMELIHARAAN RUTIN SISTEM PROTEKSI</t>
  </si>
  <si>
    <t>PT PLN (Persero) Unit Induk Transmisi Jawa Bagian Tengah</t>
  </si>
  <si>
    <t>Sub Bidang Pemeliharaan Proteksi &amp; meter</t>
  </si>
  <si>
    <t>Tahun 2024</t>
  </si>
  <si>
    <t>SPAR</t>
  </si>
  <si>
    <t>STPAR</t>
  </si>
  <si>
    <t>Trip 3 Fasa</t>
  </si>
  <si>
    <t>Trip 1 Fasa R &amp; Reclose</t>
  </si>
  <si>
    <t>Trip 1 Fasa S &amp; Reclose</t>
  </si>
  <si>
    <t>Trip 1 Fasa T &amp; Reclose</t>
  </si>
  <si>
    <t>Trip &amp; Reclose CB AB
CB Busbar Open</t>
  </si>
  <si>
    <t>Trip &amp; Reclose CB Busbar
CB AB Open</t>
  </si>
  <si>
    <t>Trip &amp; Reclose CB Busbar &amp; AB</t>
  </si>
  <si>
    <t>Trip 1 Fasa R &amp; Disusul Trip Fasa ST</t>
  </si>
  <si>
    <t>Tidak Trip</t>
  </si>
  <si>
    <t>Trip 3 Fasa &amp; Reclose</t>
  </si>
  <si>
    <t>SISTEM PROTEKSI BAY TRAFO</t>
  </si>
  <si>
    <t>Assessment Pengujian Arus Minimum Pickup HV</t>
  </si>
  <si>
    <t>Pengujian Arus Minimum Pickup Sisi LV</t>
  </si>
  <si>
    <t>Assessment Pengujian Arus Minimum Pickup LV</t>
  </si>
  <si>
    <t>Pengujian Arus Minimum Pickup Sisi TV</t>
  </si>
  <si>
    <t>Pengujian Arus Minimum Pickup DIFF Sisi HV</t>
  </si>
  <si>
    <t>Pengujian Waktu Kerja Diff Sisi HV</t>
  </si>
  <si>
    <t>Pengujian Waktu Kerja Diff Sisi LV</t>
  </si>
  <si>
    <t>Pengujian Waktu Kerja Diff Sisi TV</t>
  </si>
  <si>
    <t>Assessment Pengujian Arus Minimum Pickup TV</t>
  </si>
  <si>
    <t>Pengujian Slope Diff</t>
  </si>
  <si>
    <t>Setting Waktu (s)</t>
  </si>
  <si>
    <t>Hasil Pengujian  (s)</t>
  </si>
  <si>
    <t>Assessment Pengujian Slope Diff</t>
  </si>
  <si>
    <t>1.8</t>
  </si>
  <si>
    <t>Pengujian  2nd &amp; 5th Harmonic</t>
  </si>
  <si>
    <t>2nd Harm</t>
  </si>
  <si>
    <t>5th Harm</t>
  </si>
  <si>
    <t>Nilai Ixf/IDiff Acuan (%)</t>
  </si>
  <si>
    <t>Nilai Ixf/IDiff Hasil Uji (%)</t>
  </si>
  <si>
    <t>1.9</t>
  </si>
  <si>
    <t>Assessment Pengujian 2nd &amp; 5th Harmonic</t>
  </si>
  <si>
    <t>Pengujian Arus Minimum Pickup REF</t>
  </si>
  <si>
    <t>REF HV</t>
  </si>
  <si>
    <t>REF LV</t>
  </si>
  <si>
    <t>Assessment Pengujian Arus Minimum Pickup REF</t>
  </si>
  <si>
    <t>Assessment Pengujian Waktu Kerja Diff Sisi HV</t>
  </si>
  <si>
    <t>Assessment Pengujian Waktu Kerja Diff Sisi LV</t>
  </si>
  <si>
    <t>Assessment Pengujian Waktu Kerja Diff Sisi TV</t>
  </si>
  <si>
    <t>Pengujian Waktu Kerja REF</t>
  </si>
  <si>
    <t>Assessment Pengujian Waktu Kerja REF</t>
  </si>
  <si>
    <t>1.10</t>
  </si>
  <si>
    <t>Pengujian Zero Sequence Filtering</t>
  </si>
  <si>
    <t>Kondisi Fungsi Zero Sequnce Filtering</t>
  </si>
  <si>
    <t>No Trip</t>
  </si>
  <si>
    <t>1.11</t>
  </si>
  <si>
    <t>1.12</t>
  </si>
  <si>
    <t>1.13</t>
  </si>
  <si>
    <t>Spesifikasi Relai Proteksi OCR/GFR 150 kV</t>
  </si>
  <si>
    <t>Spesifikasi Relai Proteksi OCR/GFR 20 kV</t>
  </si>
  <si>
    <t>Spesifikasi Relai Proteksi SBEF</t>
  </si>
  <si>
    <t>Setting Arus Pickup OCR</t>
  </si>
  <si>
    <t>A</t>
  </si>
  <si>
    <t>Setting TMS OCR</t>
  </si>
  <si>
    <t>Setting Arus Pickup GFR</t>
  </si>
  <si>
    <t>Setting TMS GFR</t>
  </si>
  <si>
    <t>3.1</t>
  </si>
  <si>
    <t>OCR R</t>
  </si>
  <si>
    <t>OCR S</t>
  </si>
  <si>
    <t>OCR T</t>
  </si>
  <si>
    <t>GFR</t>
  </si>
  <si>
    <t>Pickup</t>
  </si>
  <si>
    <t>Hasil Uji (A)</t>
  </si>
  <si>
    <t>Dropoff</t>
  </si>
  <si>
    <t>% Rasio DO/PU</t>
  </si>
  <si>
    <t>Assessment Pengujian Pickup dan Dropoff</t>
  </si>
  <si>
    <t>3.2</t>
  </si>
  <si>
    <t>Poin Pengujian</t>
  </si>
  <si>
    <t>1.5 x Iset</t>
  </si>
  <si>
    <t>2.0 x Iset</t>
  </si>
  <si>
    <t>2.5 x Iset</t>
  </si>
  <si>
    <t>3.0 x Iset</t>
  </si>
  <si>
    <t>OCR Fasa R</t>
  </si>
  <si>
    <t>Arus Injeksi (A)</t>
  </si>
  <si>
    <t>Hasil Kalkulasi (s)</t>
  </si>
  <si>
    <t>Hasil Uji (s)</t>
  </si>
  <si>
    <t>OCR Fasa S</t>
  </si>
  <si>
    <t>OCR Fasa T</t>
  </si>
  <si>
    <t>Kalkulasi Error Terbesar</t>
  </si>
  <si>
    <t>Hasil Asesmen</t>
  </si>
  <si>
    <t>Assessment Pengujian Karakteristik Waktu Kerja</t>
  </si>
  <si>
    <t>3.3</t>
  </si>
  <si>
    <t>3.4</t>
  </si>
  <si>
    <t>Setting OCR dan GFR HV</t>
  </si>
  <si>
    <t>Pengujian Karakteristik Waktu Kerja OCR dan GFR HV</t>
  </si>
  <si>
    <t>Fasa Pengujian</t>
  </si>
  <si>
    <t>Setting OCR dan GFR LV</t>
  </si>
  <si>
    <t>Pengujian Arus Pickup dan Dropoff OCR/GFR LV</t>
  </si>
  <si>
    <t>Pengujian Karakteristik Waktu Kerja OCR dan GFR LV</t>
  </si>
  <si>
    <t>OCR HS1</t>
  </si>
  <si>
    <t>OCR HS2</t>
  </si>
  <si>
    <t>Assessment Pengujian Arus Kerja OCR Moment</t>
  </si>
  <si>
    <t>Pengujian Waktu Kerja OCR Moment/Highset LV</t>
  </si>
  <si>
    <t>Assessment Pengujian Waktu Kerja OCR Moment/Highset LV</t>
  </si>
  <si>
    <t>3.5</t>
  </si>
  <si>
    <t>3.6</t>
  </si>
  <si>
    <t>Pengujian Arus Pickup dan Dropoff OCR/GFR HV</t>
  </si>
  <si>
    <t>Pengujian Arus Kerja OCR Moment/Highset HV</t>
  </si>
  <si>
    <t>Pengujian Waktu Kerja OCR Moment/Highset HV</t>
  </si>
  <si>
    <t>Assessment Pengujian Waktu Kerja OCR Moment/Highset HV</t>
  </si>
  <si>
    <t>Pengujian Fungsi Main Proteksi</t>
  </si>
  <si>
    <t>Fungsi Proteksi</t>
  </si>
  <si>
    <t>Pengujian Fasa</t>
  </si>
  <si>
    <t>Kinerja Acuan</t>
  </si>
  <si>
    <t>Indikasi Relai, Annunciator &amp; Lockout</t>
  </si>
  <si>
    <t>DIFF</t>
  </si>
  <si>
    <t>RST HV</t>
  </si>
  <si>
    <t>Trip 3 fasa, Lockout, PMT HV dan LV Trip</t>
  </si>
  <si>
    <t>RST LV</t>
  </si>
  <si>
    <t>HV</t>
  </si>
  <si>
    <t>LV</t>
  </si>
  <si>
    <t>Assessment Pengujian Fungsi Main Proteksi</t>
  </si>
  <si>
    <t>Pengujian Fungsi  Backup Proteksi</t>
  </si>
  <si>
    <t>OCR HV</t>
  </si>
  <si>
    <t>GFR HV</t>
  </si>
  <si>
    <t>N</t>
  </si>
  <si>
    <t>OCR LV</t>
  </si>
  <si>
    <t>Trip 3 fasa, Lockout, PMT LV Trip</t>
  </si>
  <si>
    <t>GFR LV</t>
  </si>
  <si>
    <t>SBEF</t>
  </si>
  <si>
    <t>Assessment Pengujian Fungsi Backup Proteksi</t>
  </si>
  <si>
    <t>GFR HS1</t>
  </si>
  <si>
    <t>GFR HS2</t>
  </si>
  <si>
    <t>OCR LV HS1</t>
  </si>
  <si>
    <t>OCR LV HS2</t>
  </si>
  <si>
    <t>GFR LV HS1</t>
  </si>
  <si>
    <t xml:space="preserve">Assessment Pengujian Fungsi </t>
  </si>
  <si>
    <t>*input hasil uji dengan error tertinggi</t>
  </si>
  <si>
    <t>Assessment Pengujian Zero Sequence Filtering</t>
  </si>
  <si>
    <t>Rasio CT HV</t>
  </si>
  <si>
    <t>Rasio CTN HV</t>
  </si>
  <si>
    <t>Rasio CT LV</t>
  </si>
  <si>
    <t>Rasio CTN LV</t>
  </si>
  <si>
    <t>Pengujian Arus Kerja OCR Moment/Highset LV</t>
  </si>
  <si>
    <t>Hasil Uji Waktu Kerja (s)</t>
  </si>
  <si>
    <t>Setting Waktu Kerja (s)</t>
  </si>
  <si>
    <t>Assessment Pengujian Individu OCR/GFR HV</t>
  </si>
  <si>
    <t>*)</t>
  </si>
  <si>
    <t>R *)</t>
  </si>
  <si>
    <t>S *)</t>
  </si>
  <si>
    <t>T *)</t>
  </si>
  <si>
    <t xml:space="preserve">Pengujian pickup 1 fasa dilakukan dengan mempertimbangkan desain (BO Diff dan REF terpisah) dan keamanan (apabila diperlukan blocking fungsi REF). Pada pengujian pickup 1 fasa akan mendapat error yang besar. </t>
  </si>
  <si>
    <t>Hasil Uji *)</t>
  </si>
  <si>
    <t>Jika hasil uji sesuai, input hanya tulisan OK, jika tidak sesuai maka tulis sesuai hasil pengujian</t>
  </si>
  <si>
    <t>Nilai Idiff Acuan (In / pu / A)*</t>
  </si>
  <si>
    <t>Nilai Idiff Hasil Uji (In / pu / A)*</t>
  </si>
  <si>
    <t>Assessment Pengujian Individu Differential / REF</t>
  </si>
  <si>
    <t>Assessment Pengujian Individu OCR/GFR LV</t>
  </si>
  <si>
    <t>Setting SBEF</t>
  </si>
  <si>
    <t>Setting Arus Pickup SBEF</t>
  </si>
  <si>
    <t>Setting TMS SBEF</t>
  </si>
  <si>
    <t>Pengujian Arus Pickup dan Dropoff SBEF</t>
  </si>
  <si>
    <t>Pengujian Karakteristik Waktu Kerja SBEF</t>
  </si>
  <si>
    <t>4.1</t>
  </si>
  <si>
    <t>4.2</t>
  </si>
  <si>
    <t>4.3</t>
  </si>
  <si>
    <t>4.4</t>
  </si>
  <si>
    <t>Assessment Pengujian Individu SBEF</t>
  </si>
  <si>
    <t>GFR LV HS2</t>
  </si>
  <si>
    <t>OCR HV Moment</t>
  </si>
  <si>
    <t>5.1</t>
  </si>
  <si>
    <t>5.2</t>
  </si>
  <si>
    <t>5.3</t>
  </si>
  <si>
    <t>5.4</t>
  </si>
  <si>
    <t>BEKASI</t>
  </si>
  <si>
    <t>TRAFO #1</t>
  </si>
  <si>
    <t>300/1 A</t>
  </si>
  <si>
    <t>2000/1 A</t>
  </si>
  <si>
    <t>2000/5 A</t>
  </si>
  <si>
    <t>MEGGER SMRT46</t>
  </si>
  <si>
    <t>Rizky W. H.</t>
  </si>
  <si>
    <t>OK</t>
  </si>
  <si>
    <t>PENGUJIAN FUNGSI DENGAN PMT DIBATASI, KARENA MEMPERHATIKAN KONDISI PMT.
BEBERAPA POIN PENGUJIAN HANYA SAMPAI LOCKOUT BEKERJA</t>
  </si>
  <si>
    <t>CIKARANG 150 KV</t>
  </si>
  <si>
    <t>ABB</t>
  </si>
  <si>
    <t>RET650</t>
  </si>
  <si>
    <t xml:space="preserve"> T1645034</t>
  </si>
  <si>
    <t>REF615</t>
  </si>
  <si>
    <t>IVHR91309422</t>
  </si>
  <si>
    <t>1VHK91309404</t>
  </si>
  <si>
    <t>1000/5 A</t>
  </si>
  <si>
    <t>Edwar D. V.</t>
  </si>
  <si>
    <t>Overcurrent, BPU HV OC/EF Trip, LO -F86.2</t>
  </si>
  <si>
    <t>LV REF Trip, REF LV, LO F86.1</t>
  </si>
  <si>
    <t>Diff Trip, 87T Diff Trip, LO F86.1</t>
  </si>
  <si>
    <t>HV REF Trip, REF HV, LO F86.1</t>
  </si>
  <si>
    <t>Earth-fault, BPU HV OC/EF Trip, LO -F86.2</t>
  </si>
  <si>
    <t>Overcurrent, PHLPTOC1 OPERATE</t>
  </si>
  <si>
    <t>Overcurrent, PHHPTOC1 OPERATE</t>
  </si>
  <si>
    <t>Overcurrent, PHHPTOC2 OPERATE</t>
  </si>
  <si>
    <t>Earth-fault, EFLPTOC1 OPERATE</t>
  </si>
  <si>
    <t>SBEF, EFLPTOC2 OPERATE, SBEF Trip</t>
  </si>
  <si>
    <t>1.1 SETTING DAN HASIL UJI DALAM SATUAN PU
1.3 SETTING DAN HASIL UJI DALAM SATUAN PU
1.9 PENGUJIAN SLOPE MENGGUNAKAN LANGSUNG 3 FASA BERDASARKAN ALAT UJI</t>
  </si>
  <si>
    <t>Diff Trip, Start L1</t>
  </si>
  <si>
    <t>Diff Trip, Start L2</t>
  </si>
  <si>
    <t>Diff Trip, Start L3</t>
  </si>
  <si>
    <t>Diff Trip, Start L1-L2-L3</t>
  </si>
  <si>
    <t>HV REF Trip</t>
  </si>
  <si>
    <t>LV REF Trip</t>
  </si>
  <si>
    <t>PHHPTOC1 OPERATE</t>
  </si>
  <si>
    <t>PHHPTOC2 OPERATE</t>
  </si>
  <si>
    <t>Riki H</t>
  </si>
  <si>
    <t>ERVAN JAGI M W</t>
  </si>
  <si>
    <t>Riki H.</t>
  </si>
  <si>
    <t>24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</si>
</sst>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13" xfId="0" applyFont="1" applyBorder="1" applyAlignment="1">
      <alignment vertical="center"/>
    </xf>
    <xf numFmtId="9" fontId="0" fillId="0" borderId="0" xfId="1" applyFont="1" applyBorder="1" applyAlignment="1">
      <alignment vertical="center" wrapText="1"/>
    </xf>
    <xf numFmtId="0" fontId="0" fillId="0" borderId="0" xfId="1" applyNumberFormat="1" applyFont="1" applyBorder="1" applyAlignment="1">
      <alignment vertical="center" wrapText="1"/>
    </xf>
    <xf numFmtId="2" fontId="0" fillId="0" borderId="0" xfId="1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/>
    </xf>
    <xf numFmtId="0" fontId="6" fillId="0" borderId="0" xfId="0" applyFont="1" applyAlignment="1">
      <alignment horizontal="left" vertical="top"/>
    </xf>
    <xf numFmtId="0" fontId="3" fillId="2" borderId="17" xfId="0" applyFont="1" applyFill="1" applyBorder="1" applyAlignment="1">
      <alignment horizontal="center" vertical="center"/>
    </xf>
    <xf numFmtId="0" fontId="0" fillId="3" borderId="17" xfId="0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0" fillId="3" borderId="32" xfId="0" applyFill="1" applyBorder="1" applyAlignment="1" applyProtection="1">
      <alignment horizontal="center" vertical="center"/>
      <protection locked="0"/>
    </xf>
    <xf numFmtId="0" fontId="0" fillId="3" borderId="37" xfId="0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0" fontId="0" fillId="3" borderId="18" xfId="0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>
      <alignment horizontal="center" vertical="center"/>
    </xf>
    <xf numFmtId="0" fontId="0" fillId="3" borderId="19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2" borderId="17" xfId="0" applyFont="1" applyFill="1" applyBorder="1" applyAlignment="1">
      <alignment horizontal="left" vertical="center"/>
    </xf>
    <xf numFmtId="0" fontId="0" fillId="3" borderId="21" xfId="0" applyFill="1" applyBorder="1" applyAlignment="1" applyProtection="1">
      <alignment horizontal="center" vertical="center"/>
      <protection locked="0"/>
    </xf>
    <xf numFmtId="0" fontId="0" fillId="3" borderId="45" xfId="0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0" fillId="3" borderId="39" xfId="0" applyFill="1" applyBorder="1" applyAlignment="1" applyProtection="1">
      <alignment horizontal="center" vertical="center" wrapText="1"/>
      <protection locked="0"/>
    </xf>
    <xf numFmtId="0" fontId="0" fillId="3" borderId="37" xfId="0" applyFill="1" applyBorder="1" applyAlignment="1" applyProtection="1">
      <alignment horizontal="center" vertical="center" wrapText="1"/>
      <protection locked="0"/>
    </xf>
    <xf numFmtId="0" fontId="0" fillId="3" borderId="40" xfId="0" applyFill="1" applyBorder="1" applyAlignment="1" applyProtection="1">
      <alignment horizontal="center" vertical="center" wrapText="1"/>
      <protection locked="0"/>
    </xf>
    <xf numFmtId="0" fontId="7" fillId="4" borderId="21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9" fontId="0" fillId="5" borderId="37" xfId="1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3" borderId="18" xfId="0" applyFill="1" applyBorder="1" applyAlignment="1" applyProtection="1">
      <alignment horizontal="center" vertical="center" wrapText="1"/>
      <protection locked="0"/>
    </xf>
    <xf numFmtId="0" fontId="0" fillId="3" borderId="17" xfId="0" applyFill="1" applyBorder="1" applyAlignment="1" applyProtection="1">
      <alignment horizontal="center" vertical="center" wrapText="1"/>
      <protection locked="0"/>
    </xf>
    <xf numFmtId="0" fontId="0" fillId="3" borderId="42" xfId="0" applyFill="1" applyBorder="1" applyAlignment="1" applyProtection="1">
      <alignment horizontal="center" vertical="center" wrapText="1"/>
      <protection locked="0"/>
    </xf>
    <xf numFmtId="0" fontId="0" fillId="7" borderId="4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9" fontId="0" fillId="5" borderId="17" xfId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3" borderId="32" xfId="0" applyFill="1" applyBorder="1" applyAlignment="1" applyProtection="1">
      <alignment horizontal="center" vertical="center" wrapText="1"/>
      <protection locked="0"/>
    </xf>
    <xf numFmtId="9" fontId="0" fillId="5" borderId="32" xfId="1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3" borderId="34" xfId="0" applyFill="1" applyBorder="1" applyAlignment="1" applyProtection="1">
      <alignment horizontal="center" vertical="center" wrapText="1"/>
      <protection locked="0"/>
    </xf>
    <xf numFmtId="0" fontId="0" fillId="3" borderId="35" xfId="0" applyFill="1" applyBorder="1" applyAlignment="1" applyProtection="1">
      <alignment horizontal="center" vertical="center" wrapText="1"/>
      <protection locked="0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0" fillId="7" borderId="53" xfId="0" applyFill="1" applyBorder="1" applyAlignment="1">
      <alignment horizontal="center" vertical="center" wrapText="1"/>
    </xf>
    <xf numFmtId="0" fontId="0" fillId="7" borderId="56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3" borderId="39" xfId="0" applyFill="1" applyBorder="1" applyAlignment="1" applyProtection="1">
      <alignment horizontal="center" vertical="center"/>
      <protection locked="0"/>
    </xf>
    <xf numFmtId="0" fontId="0" fillId="3" borderId="37" xfId="0" applyFill="1" applyBorder="1" applyAlignment="1" applyProtection="1">
      <alignment horizontal="center" vertical="center"/>
      <protection locked="0"/>
    </xf>
    <xf numFmtId="0" fontId="0" fillId="3" borderId="40" xfId="0" applyFill="1" applyBorder="1" applyAlignment="1" applyProtection="1">
      <alignment horizontal="center" vertical="center"/>
      <protection locked="0"/>
    </xf>
    <xf numFmtId="0" fontId="0" fillId="5" borderId="17" xfId="0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 applyProtection="1">
      <alignment horizontal="center" vertical="center" wrapText="1"/>
      <protection locked="0"/>
    </xf>
    <xf numFmtId="0" fontId="0" fillId="3" borderId="54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3" borderId="46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43" xfId="0" applyFill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center" vertical="center"/>
      <protection locked="0"/>
    </xf>
    <xf numFmtId="0" fontId="0" fillId="3" borderId="55" xfId="0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7" fillId="6" borderId="58" xfId="0" applyFont="1" applyFill="1" applyBorder="1" applyAlignment="1">
      <alignment horizontal="center" vertical="center" wrapText="1"/>
    </xf>
    <xf numFmtId="0" fontId="7" fillId="6" borderId="59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0" fillId="3" borderId="34" xfId="0" applyFill="1" applyBorder="1" applyAlignment="1" applyProtection="1">
      <alignment horizontal="center" vertical="center"/>
      <protection locked="0"/>
    </xf>
    <xf numFmtId="0" fontId="0" fillId="3" borderId="32" xfId="0" applyFill="1" applyBorder="1" applyAlignment="1" applyProtection="1">
      <alignment horizontal="center" vertical="center"/>
      <protection locked="0"/>
    </xf>
    <xf numFmtId="0" fontId="0" fillId="3" borderId="35" xfId="0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2" borderId="31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0" fillId="3" borderId="31" xfId="0" applyFill="1" applyBorder="1" applyAlignment="1" applyProtection="1">
      <alignment horizontal="center" vertical="center"/>
      <protection locked="0"/>
    </xf>
    <xf numFmtId="0" fontId="3" fillId="2" borderId="3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0" fillId="3" borderId="36" xfId="0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>
      <alignment horizontal="left" vertical="center"/>
    </xf>
    <xf numFmtId="0" fontId="0" fillId="3" borderId="41" xfId="0" applyFill="1" applyBorder="1" applyAlignment="1" applyProtection="1">
      <alignment horizontal="center" vertical="center"/>
      <protection locked="0"/>
    </xf>
    <xf numFmtId="0" fontId="0" fillId="3" borderId="42" xfId="0" applyFill="1" applyBorder="1" applyAlignment="1" applyProtection="1">
      <alignment horizontal="center" vertical="center"/>
      <protection locked="0"/>
    </xf>
    <xf numFmtId="0" fontId="0" fillId="7" borderId="32" xfId="0" applyFill="1" applyBorder="1" applyAlignment="1">
      <alignment horizontal="center" vertical="center" wrapText="1"/>
    </xf>
    <xf numFmtId="2" fontId="0" fillId="3" borderId="47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48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49" xfId="1" applyNumberFormat="1" applyFont="1" applyFill="1" applyBorder="1" applyAlignment="1" applyProtection="1">
      <alignment horizontal="center" vertical="center" wrapText="1"/>
      <protection locked="0"/>
    </xf>
    <xf numFmtId="0" fontId="0" fillId="7" borderId="17" xfId="0" applyFill="1" applyBorder="1" applyAlignment="1">
      <alignment horizontal="center" vertical="center" wrapText="1"/>
    </xf>
    <xf numFmtId="9" fontId="0" fillId="5" borderId="17" xfId="1" applyFont="1" applyFill="1" applyBorder="1" applyAlignment="1">
      <alignment horizontal="center" vertical="center" wrapText="1"/>
    </xf>
    <xf numFmtId="9" fontId="0" fillId="5" borderId="42" xfId="1" applyFont="1" applyFill="1" applyBorder="1" applyAlignment="1">
      <alignment horizontal="center" vertical="center" wrapText="1"/>
    </xf>
    <xf numFmtId="0" fontId="0" fillId="5" borderId="17" xfId="1" applyNumberFormat="1" applyFont="1" applyFill="1" applyBorder="1" applyAlignment="1">
      <alignment horizontal="center" vertical="center" wrapText="1"/>
    </xf>
    <xf numFmtId="0" fontId="0" fillId="5" borderId="42" xfId="1" applyNumberFormat="1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5" borderId="37" xfId="1" applyNumberFormat="1" applyFont="1" applyFill="1" applyBorder="1" applyAlignment="1">
      <alignment horizontal="center" vertical="center" wrapText="1"/>
    </xf>
    <xf numFmtId="2" fontId="0" fillId="3" borderId="43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44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50" xfId="1" applyNumberFormat="1" applyFont="1" applyFill="1" applyBorder="1" applyAlignment="1" applyProtection="1">
      <alignment horizontal="center" vertical="center" wrapText="1"/>
      <protection locked="0"/>
    </xf>
    <xf numFmtId="0" fontId="0" fillId="5" borderId="46" xfId="0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2" fontId="0" fillId="5" borderId="32" xfId="1" applyNumberFormat="1" applyFont="1" applyFill="1" applyBorder="1" applyAlignment="1">
      <alignment horizontal="center" vertical="center" wrapText="1"/>
    </xf>
    <xf numFmtId="2" fontId="0" fillId="5" borderId="35" xfId="1" applyNumberFormat="1" applyFont="1" applyFill="1" applyBorder="1" applyAlignment="1">
      <alignment horizontal="center" vertical="center" wrapText="1"/>
    </xf>
    <xf numFmtId="2" fontId="0" fillId="5" borderId="17" xfId="1" applyNumberFormat="1" applyFont="1" applyFill="1" applyBorder="1" applyAlignment="1">
      <alignment horizontal="center" vertical="center" wrapText="1"/>
    </xf>
    <xf numFmtId="2" fontId="0" fillId="5" borderId="42" xfId="1" applyNumberFormat="1" applyFont="1" applyFill="1" applyBorder="1" applyAlignment="1">
      <alignment horizontal="center" vertical="center" wrapText="1"/>
    </xf>
    <xf numFmtId="2" fontId="0" fillId="3" borderId="21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45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18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60" xfId="1" applyNumberFormat="1" applyFont="1" applyFill="1" applyBorder="1" applyAlignment="1" applyProtection="1">
      <alignment horizontal="center" vertical="center" wrapText="1"/>
      <protection locked="0"/>
    </xf>
    <xf numFmtId="0" fontId="0" fillId="5" borderId="40" xfId="1" applyNumberFormat="1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3" borderId="29" xfId="0" applyFill="1" applyBorder="1" applyAlignment="1" applyProtection="1">
      <alignment horizontal="center" vertical="center" wrapText="1"/>
      <protection locked="0"/>
    </xf>
    <xf numFmtId="0" fontId="0" fillId="3" borderId="27" xfId="0" applyFill="1" applyBorder="1" applyAlignment="1" applyProtection="1">
      <alignment horizontal="center" vertical="center" wrapText="1"/>
      <protection locked="0"/>
    </xf>
    <xf numFmtId="9" fontId="0" fillId="5" borderId="27" xfId="1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3" borderId="30" xfId="0" applyFill="1" applyBorder="1" applyAlignment="1" applyProtection="1">
      <alignment horizontal="center" vertical="center" wrapText="1"/>
      <protection locked="0"/>
    </xf>
    <xf numFmtId="0" fontId="7" fillId="4" borderId="1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2" fontId="0" fillId="3" borderId="24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22" xfId="1" applyNumberFormat="1" applyFont="1" applyFill="1" applyBorder="1" applyAlignment="1" applyProtection="1">
      <alignment horizontal="center" vertical="center" wrapText="1"/>
      <protection locked="0"/>
    </xf>
    <xf numFmtId="0" fontId="7" fillId="6" borderId="1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45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45" xfId="0" applyFill="1" applyBorder="1" applyAlignment="1" applyProtection="1">
      <alignment horizontal="center" vertical="center" wrapText="1"/>
      <protection locked="0"/>
    </xf>
    <xf numFmtId="0" fontId="8" fillId="4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55988</xdr:colOff>
      <xdr:row>47</xdr:row>
      <xdr:rowOff>83576</xdr:rowOff>
    </xdr:from>
    <xdr:to>
      <xdr:col>3</xdr:col>
      <xdr:colOff>174995</xdr:colOff>
      <xdr:row>49</xdr:row>
      <xdr:rowOff>170920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E6A4C-2637-4A92-B74A-E88B8805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41" y="8653835"/>
          <a:ext cx="390413" cy="51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106680</xdr:colOff>
      <xdr:row>39</xdr:row>
      <xdr:rowOff>60960</xdr:rowOff>
    </xdr:from>
    <xdr:to>
      <xdr:col>25</xdr:col>
      <xdr:colOff>81284</xdr:colOff>
      <xdr:row>44</xdr:row>
      <xdr:rowOff>56869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493F0D-C553-4AD0-A876-6C2C15E5C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8808720"/>
          <a:ext cx="1483364" cy="10627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9F15C-8D3A-43B6-B2FC-C72D097B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33866</xdr:colOff>
      <xdr:row>118</xdr:row>
      <xdr:rowOff>59267</xdr:rowOff>
    </xdr:from>
    <xdr:to>
      <xdr:col>27</xdr:col>
      <xdr:colOff>247230</xdr:colOff>
      <xdr:row>123</xdr:row>
      <xdr:rowOff>63643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4FCB4-84C2-40C1-ACD4-F9FA565E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5733" y="28024667"/>
          <a:ext cx="1483364" cy="10627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171450</xdr:colOff>
      <xdr:row>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878A4-81BC-4785-A044-4BB13323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237067</xdr:colOff>
      <xdr:row>72</xdr:row>
      <xdr:rowOff>59266</xdr:rowOff>
    </xdr:from>
    <xdr:to>
      <xdr:col>27</xdr:col>
      <xdr:colOff>196431</xdr:colOff>
      <xdr:row>77</xdr:row>
      <xdr:rowOff>63642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6E6DF9-54D2-42D4-9F02-24C83A91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2734" y="16349133"/>
          <a:ext cx="1483364" cy="10627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167640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02CB4-9CAC-4BEC-A4B6-81E23E13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510540"/>
          <a:ext cx="3810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186267</xdr:colOff>
      <xdr:row>78</xdr:row>
      <xdr:rowOff>33867</xdr:rowOff>
    </xdr:from>
    <xdr:to>
      <xdr:col>27</xdr:col>
      <xdr:colOff>145631</xdr:colOff>
      <xdr:row>83</xdr:row>
      <xdr:rowOff>38243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2000F-1626-410F-86B1-A976A204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1934" y="17593734"/>
          <a:ext cx="1483364" cy="10627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171450</xdr:colOff>
      <xdr:row>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8BE46-2FE4-4160-ABAF-4DE10743F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862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</xdr:row>
      <xdr:rowOff>83820</xdr:rowOff>
    </xdr:from>
    <xdr:ext cx="420485" cy="491837"/>
    <xdr:pic>
      <xdr:nvPicPr>
        <xdr:cNvPr id="2" name="Picture 1">
          <a:extLst>
            <a:ext uri="{FF2B5EF4-FFF2-40B4-BE49-F238E27FC236}">
              <a16:creationId xmlns:a16="http://schemas.microsoft.com/office/drawing/2014/main" id="{151BFD8C-FF9B-489D-90AB-9D26B0DC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420485" cy="491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843E-50F8-4D54-BBDE-4B2585D0893F}">
  <dimension ref="B1:AD152"/>
  <sheetViews>
    <sheetView tabSelected="1" view="pageBreakPreview" topLeftCell="A27" zoomScaleNormal="85" zoomScaleSheetLayoutView="100" workbookViewId="0">
      <selection activeCell="AA14" sqref="AA14"/>
    </sheetView>
  </sheetViews>
  <sheetFormatPr defaultColWidth="8.88671875" defaultRowHeight="14.4" x14ac:dyDescent="0.3"/>
  <cols>
    <col min="1" max="42" width="3.6640625" style="1" customWidth="1"/>
    <col min="43" max="16384" width="8.88671875" style="1"/>
  </cols>
  <sheetData>
    <row r="1" spans="2:30" ht="16.95" customHeight="1" thickBot="1" x14ac:dyDescent="0.35"/>
    <row r="2" spans="2:30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20"/>
    </row>
    <row r="3" spans="2:30" ht="16.95" customHeight="1" x14ac:dyDescent="0.3">
      <c r="B3" s="21"/>
      <c r="AD3" s="22"/>
    </row>
    <row r="4" spans="2:30" ht="25.2" customHeight="1" x14ac:dyDescent="0.3">
      <c r="B4" s="21"/>
      <c r="C4" s="65" t="s">
        <v>43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22"/>
    </row>
    <row r="5" spans="2:30" ht="25.2" customHeight="1" x14ac:dyDescent="0.3">
      <c r="B5" s="21"/>
      <c r="C5" s="65" t="s">
        <v>74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22"/>
    </row>
    <row r="6" spans="2:30" ht="25.2" customHeight="1" x14ac:dyDescent="0.3">
      <c r="B6" s="21"/>
      <c r="C6" s="65" t="s">
        <v>44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22"/>
    </row>
    <row r="7" spans="2:30" ht="25.2" customHeight="1" x14ac:dyDescent="0.3">
      <c r="B7" s="21"/>
      <c r="C7" s="65" t="s">
        <v>45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22"/>
    </row>
    <row r="8" spans="2:30" ht="16.95" customHeight="1" x14ac:dyDescent="0.3">
      <c r="B8" s="21"/>
      <c r="AD8" s="22"/>
    </row>
    <row r="9" spans="2:30" ht="16.95" customHeight="1" x14ac:dyDescent="0.3">
      <c r="B9" s="21"/>
      <c r="AD9" s="22"/>
    </row>
    <row r="10" spans="2:30" ht="16.95" customHeight="1" x14ac:dyDescent="0.3">
      <c r="B10" s="21"/>
      <c r="I10" s="66" t="s">
        <v>0</v>
      </c>
      <c r="J10" s="66"/>
      <c r="K10" s="66"/>
      <c r="L10" s="36" t="s">
        <v>10</v>
      </c>
      <c r="M10" s="57" t="s">
        <v>228</v>
      </c>
      <c r="N10" s="57"/>
      <c r="O10" s="57"/>
      <c r="P10" s="57"/>
      <c r="Q10" s="57"/>
      <c r="R10" s="57"/>
      <c r="S10" s="57"/>
      <c r="T10" s="57"/>
      <c r="U10" s="57"/>
      <c r="V10" s="57"/>
      <c r="W10" s="57"/>
      <c r="AD10" s="22"/>
    </row>
    <row r="11" spans="2:30" ht="16.95" customHeight="1" x14ac:dyDescent="0.3">
      <c r="B11" s="21"/>
      <c r="I11" s="66" t="s">
        <v>46</v>
      </c>
      <c r="J11" s="66"/>
      <c r="K11" s="66"/>
      <c r="L11" s="36" t="s">
        <v>10</v>
      </c>
      <c r="M11" s="57" t="s">
        <v>228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AD11" s="22"/>
    </row>
    <row r="12" spans="2:30" ht="16.95" customHeight="1" x14ac:dyDescent="0.3">
      <c r="B12" s="21"/>
      <c r="I12" s="66" t="s">
        <v>47</v>
      </c>
      <c r="J12" s="66"/>
      <c r="K12" s="66"/>
      <c r="L12" s="36" t="s">
        <v>10</v>
      </c>
      <c r="M12" s="57" t="s">
        <v>237</v>
      </c>
      <c r="N12" s="57"/>
      <c r="O12" s="57"/>
      <c r="P12" s="57"/>
      <c r="Q12" s="57"/>
      <c r="R12" s="57"/>
      <c r="S12" s="57"/>
      <c r="T12" s="57"/>
      <c r="U12" s="57"/>
      <c r="V12" s="57"/>
      <c r="W12" s="57"/>
      <c r="AD12" s="22"/>
    </row>
    <row r="13" spans="2:30" ht="16.95" customHeight="1" x14ac:dyDescent="0.3">
      <c r="B13" s="21"/>
      <c r="I13" s="66" t="s">
        <v>48</v>
      </c>
      <c r="J13" s="66"/>
      <c r="K13" s="66"/>
      <c r="L13" s="36" t="s">
        <v>10</v>
      </c>
      <c r="M13" s="57" t="s">
        <v>229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AD13" s="22"/>
    </row>
    <row r="14" spans="2:30" ht="16.95" customHeight="1" x14ac:dyDescent="0.3">
      <c r="B14" s="21"/>
      <c r="I14" s="66" t="s">
        <v>55</v>
      </c>
      <c r="J14" s="66"/>
      <c r="K14" s="66"/>
      <c r="L14" s="36" t="s">
        <v>10</v>
      </c>
      <c r="M14" s="57" t="s">
        <v>268</v>
      </c>
      <c r="N14" s="57"/>
      <c r="O14" s="57"/>
      <c r="P14" s="57"/>
      <c r="Q14" s="57"/>
      <c r="R14" s="57"/>
      <c r="S14" s="57"/>
      <c r="T14" s="57"/>
      <c r="U14" s="57"/>
      <c r="V14" s="57"/>
      <c r="W14" s="57"/>
      <c r="AD14" s="22"/>
    </row>
    <row r="15" spans="2:30" ht="16.95" customHeight="1" x14ac:dyDescent="0.3">
      <c r="B15" s="21"/>
      <c r="I15" s="16"/>
      <c r="J15" s="16"/>
      <c r="K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AD15" s="22"/>
    </row>
    <row r="16" spans="2:30" ht="16.95" customHeight="1" x14ac:dyDescent="0.3">
      <c r="B16" s="21"/>
      <c r="AD16" s="22"/>
    </row>
    <row r="17" spans="2:30" ht="16.95" customHeight="1" x14ac:dyDescent="0.3">
      <c r="B17" s="21"/>
      <c r="D17" s="14" t="s">
        <v>56</v>
      </c>
      <c r="R17" s="14" t="s">
        <v>112</v>
      </c>
      <c r="AD17" s="22"/>
    </row>
    <row r="18" spans="2:30" ht="16.95" customHeight="1" x14ac:dyDescent="0.3">
      <c r="B18" s="21"/>
      <c r="D18" s="64" t="s">
        <v>49</v>
      </c>
      <c r="E18" s="64"/>
      <c r="F18" s="64"/>
      <c r="G18" s="64"/>
      <c r="H18" s="36" t="s">
        <v>10</v>
      </c>
      <c r="I18" s="57" t="s">
        <v>238</v>
      </c>
      <c r="J18" s="57"/>
      <c r="K18" s="57"/>
      <c r="L18" s="57"/>
      <c r="M18" s="57"/>
      <c r="N18" s="57"/>
      <c r="R18" s="64" t="s">
        <v>49</v>
      </c>
      <c r="S18" s="64"/>
      <c r="T18" s="64"/>
      <c r="U18" s="64"/>
      <c r="V18" s="36" t="s">
        <v>10</v>
      </c>
      <c r="W18" s="57" t="s">
        <v>238</v>
      </c>
      <c r="X18" s="57"/>
      <c r="Y18" s="57"/>
      <c r="Z18" s="57"/>
      <c r="AA18" s="57"/>
      <c r="AB18" s="57"/>
      <c r="AD18" s="22"/>
    </row>
    <row r="19" spans="2:30" ht="16.95" customHeight="1" x14ac:dyDescent="0.3">
      <c r="B19" s="21"/>
      <c r="D19" s="64" t="s">
        <v>50</v>
      </c>
      <c r="E19" s="64"/>
      <c r="F19" s="64"/>
      <c r="G19" s="64"/>
      <c r="H19" s="36" t="s">
        <v>10</v>
      </c>
      <c r="I19" s="57" t="s">
        <v>239</v>
      </c>
      <c r="J19" s="57"/>
      <c r="K19" s="57"/>
      <c r="L19" s="57"/>
      <c r="M19" s="57"/>
      <c r="N19" s="57"/>
      <c r="R19" s="64" t="s">
        <v>50</v>
      </c>
      <c r="S19" s="64"/>
      <c r="T19" s="64"/>
      <c r="U19" s="64"/>
      <c r="V19" s="36" t="s">
        <v>10</v>
      </c>
      <c r="W19" s="57" t="s">
        <v>241</v>
      </c>
      <c r="X19" s="57"/>
      <c r="Y19" s="57"/>
      <c r="Z19" s="57"/>
      <c r="AA19" s="57"/>
      <c r="AB19" s="57"/>
      <c r="AD19" s="22"/>
    </row>
    <row r="20" spans="2:30" ht="16.95" customHeight="1" x14ac:dyDescent="0.3">
      <c r="B20" s="21"/>
      <c r="D20" s="64" t="s">
        <v>51</v>
      </c>
      <c r="E20" s="64"/>
      <c r="F20" s="64"/>
      <c r="G20" s="64"/>
      <c r="H20" s="36" t="s">
        <v>10</v>
      </c>
      <c r="I20" s="57" t="s">
        <v>240</v>
      </c>
      <c r="J20" s="57"/>
      <c r="K20" s="57"/>
      <c r="L20" s="57"/>
      <c r="M20" s="57"/>
      <c r="N20" s="57"/>
      <c r="R20" s="64" t="s">
        <v>51</v>
      </c>
      <c r="S20" s="64"/>
      <c r="T20" s="64"/>
      <c r="U20" s="64"/>
      <c r="V20" s="36" t="s">
        <v>10</v>
      </c>
      <c r="W20" s="57" t="s">
        <v>242</v>
      </c>
      <c r="X20" s="57"/>
      <c r="Y20" s="57"/>
      <c r="Z20" s="57"/>
      <c r="AA20" s="57"/>
      <c r="AB20" s="57"/>
      <c r="AD20" s="22"/>
    </row>
    <row r="21" spans="2:30" ht="16.95" customHeight="1" x14ac:dyDescent="0.3">
      <c r="B21" s="21"/>
      <c r="D21" s="64" t="s">
        <v>52</v>
      </c>
      <c r="E21" s="64"/>
      <c r="F21" s="64"/>
      <c r="G21" s="64"/>
      <c r="H21" s="36" t="s">
        <v>10</v>
      </c>
      <c r="I21" s="57"/>
      <c r="J21" s="57"/>
      <c r="K21" s="57"/>
      <c r="L21" s="57"/>
      <c r="M21" s="57"/>
      <c r="N21" s="57"/>
      <c r="R21" s="64" t="s">
        <v>52</v>
      </c>
      <c r="S21" s="64"/>
      <c r="T21" s="64"/>
      <c r="U21" s="64"/>
      <c r="V21" s="36" t="s">
        <v>10</v>
      </c>
      <c r="W21" s="57"/>
      <c r="X21" s="57"/>
      <c r="Y21" s="57"/>
      <c r="Z21" s="57"/>
      <c r="AA21" s="57"/>
      <c r="AB21" s="57"/>
      <c r="AD21" s="22"/>
    </row>
    <row r="22" spans="2:30" ht="16.95" customHeight="1" x14ac:dyDescent="0.3">
      <c r="B22" s="21"/>
      <c r="D22" s="64" t="s">
        <v>193</v>
      </c>
      <c r="E22" s="64"/>
      <c r="F22" s="64"/>
      <c r="G22" s="64"/>
      <c r="H22" s="36" t="s">
        <v>10</v>
      </c>
      <c r="I22" s="57" t="s">
        <v>230</v>
      </c>
      <c r="J22" s="57"/>
      <c r="K22" s="57"/>
      <c r="L22" s="57"/>
      <c r="M22" s="57"/>
      <c r="N22" s="57"/>
      <c r="R22" s="64" t="s">
        <v>54</v>
      </c>
      <c r="S22" s="64"/>
      <c r="T22" s="64"/>
      <c r="U22" s="64"/>
      <c r="V22" s="36" t="s">
        <v>10</v>
      </c>
      <c r="W22" s="57" t="s">
        <v>230</v>
      </c>
      <c r="X22" s="57"/>
      <c r="Y22" s="57"/>
      <c r="Z22" s="57"/>
      <c r="AA22" s="57"/>
      <c r="AB22" s="57"/>
      <c r="AD22" s="22"/>
    </row>
    <row r="23" spans="2:30" ht="16.95" customHeight="1" x14ac:dyDescent="0.3">
      <c r="B23" s="21"/>
      <c r="D23" s="64" t="s">
        <v>194</v>
      </c>
      <c r="E23" s="64"/>
      <c r="F23" s="64"/>
      <c r="G23" s="64"/>
      <c r="H23" s="36" t="s">
        <v>10</v>
      </c>
      <c r="I23" s="57" t="s">
        <v>230</v>
      </c>
      <c r="J23" s="57"/>
      <c r="K23" s="57"/>
      <c r="L23" s="57"/>
      <c r="M23" s="57"/>
      <c r="N23" s="57"/>
      <c r="R23" s="64" t="s">
        <v>53</v>
      </c>
      <c r="S23" s="64"/>
      <c r="T23" s="64"/>
      <c r="U23" s="64"/>
      <c r="V23" s="36" t="s">
        <v>10</v>
      </c>
      <c r="W23" s="57" t="s">
        <v>233</v>
      </c>
      <c r="X23" s="57"/>
      <c r="Y23" s="57"/>
      <c r="Z23" s="57"/>
      <c r="AA23" s="57"/>
      <c r="AB23" s="57"/>
      <c r="AD23" s="22"/>
    </row>
    <row r="24" spans="2:30" ht="16.95" customHeight="1" x14ac:dyDescent="0.3">
      <c r="B24" s="21"/>
      <c r="D24" s="69" t="s">
        <v>195</v>
      </c>
      <c r="E24" s="70"/>
      <c r="F24" s="70"/>
      <c r="G24" s="71"/>
      <c r="H24" s="36" t="s">
        <v>10</v>
      </c>
      <c r="I24" s="57" t="s">
        <v>232</v>
      </c>
      <c r="J24" s="57"/>
      <c r="K24" s="57"/>
      <c r="L24" s="57"/>
      <c r="M24" s="57"/>
      <c r="N24" s="57"/>
      <c r="R24" s="37"/>
      <c r="S24" s="37"/>
      <c r="T24" s="37"/>
      <c r="U24" s="37"/>
      <c r="V24" s="38"/>
      <c r="W24" s="2"/>
      <c r="X24" s="2"/>
      <c r="Y24" s="2"/>
      <c r="Z24" s="2"/>
      <c r="AA24" s="2"/>
      <c r="AB24" s="2"/>
      <c r="AD24" s="22"/>
    </row>
    <row r="25" spans="2:30" ht="16.95" customHeight="1" x14ac:dyDescent="0.3">
      <c r="B25" s="21"/>
      <c r="D25" s="69" t="s">
        <v>196</v>
      </c>
      <c r="E25" s="70"/>
      <c r="F25" s="70"/>
      <c r="G25" s="71"/>
      <c r="H25" s="36" t="s">
        <v>10</v>
      </c>
      <c r="I25" s="57" t="s">
        <v>232</v>
      </c>
      <c r="J25" s="57"/>
      <c r="K25" s="57"/>
      <c r="L25" s="57"/>
      <c r="M25" s="57"/>
      <c r="N25" s="57"/>
      <c r="R25" s="14" t="s">
        <v>113</v>
      </c>
      <c r="AD25" s="22"/>
    </row>
    <row r="26" spans="2:30" ht="16.95" customHeight="1" x14ac:dyDescent="0.3">
      <c r="B26" s="21"/>
      <c r="D26" s="64" t="s">
        <v>53</v>
      </c>
      <c r="E26" s="64"/>
      <c r="F26" s="64"/>
      <c r="G26" s="64"/>
      <c r="H26" s="36" t="s">
        <v>10</v>
      </c>
      <c r="I26" s="57" t="s">
        <v>233</v>
      </c>
      <c r="J26" s="57"/>
      <c r="K26" s="57"/>
      <c r="L26" s="57"/>
      <c r="M26" s="57"/>
      <c r="N26" s="57"/>
      <c r="R26" s="64" t="s">
        <v>49</v>
      </c>
      <c r="S26" s="64"/>
      <c r="T26" s="64"/>
      <c r="U26" s="64"/>
      <c r="V26" s="36" t="s">
        <v>10</v>
      </c>
      <c r="W26" s="57" t="s">
        <v>238</v>
      </c>
      <c r="X26" s="57"/>
      <c r="Y26" s="57"/>
      <c r="Z26" s="57"/>
      <c r="AA26" s="57"/>
      <c r="AB26" s="57"/>
      <c r="AD26" s="22"/>
    </row>
    <row r="27" spans="2:30" ht="16.95" customHeight="1" x14ac:dyDescent="0.3">
      <c r="B27" s="21"/>
      <c r="R27" s="64" t="s">
        <v>50</v>
      </c>
      <c r="S27" s="64"/>
      <c r="T27" s="64"/>
      <c r="U27" s="64"/>
      <c r="V27" s="36" t="s">
        <v>10</v>
      </c>
      <c r="W27" s="57" t="s">
        <v>241</v>
      </c>
      <c r="X27" s="57"/>
      <c r="Y27" s="57"/>
      <c r="Z27" s="57"/>
      <c r="AA27" s="57"/>
      <c r="AB27" s="57"/>
      <c r="AD27" s="22"/>
    </row>
    <row r="28" spans="2:30" ht="16.95" customHeight="1" x14ac:dyDescent="0.3">
      <c r="B28" s="21"/>
      <c r="D28" s="14" t="s">
        <v>114</v>
      </c>
      <c r="R28" s="64" t="s">
        <v>51</v>
      </c>
      <c r="S28" s="64"/>
      <c r="T28" s="64"/>
      <c r="U28" s="64"/>
      <c r="V28" s="36" t="s">
        <v>10</v>
      </c>
      <c r="W28" s="57" t="s">
        <v>243</v>
      </c>
      <c r="X28" s="57"/>
      <c r="Y28" s="57"/>
      <c r="Z28" s="57"/>
      <c r="AA28" s="57"/>
      <c r="AB28" s="57"/>
      <c r="AD28" s="22"/>
    </row>
    <row r="29" spans="2:30" ht="16.95" customHeight="1" x14ac:dyDescent="0.3">
      <c r="B29" s="21"/>
      <c r="D29" s="64" t="s">
        <v>49</v>
      </c>
      <c r="E29" s="64"/>
      <c r="F29" s="64"/>
      <c r="G29" s="64"/>
      <c r="H29" s="36" t="s">
        <v>10</v>
      </c>
      <c r="I29" s="57" t="s">
        <v>238</v>
      </c>
      <c r="J29" s="57"/>
      <c r="K29" s="57"/>
      <c r="L29" s="57"/>
      <c r="M29" s="57"/>
      <c r="N29" s="57"/>
      <c r="R29" s="64" t="s">
        <v>52</v>
      </c>
      <c r="S29" s="64"/>
      <c r="T29" s="64"/>
      <c r="U29" s="64"/>
      <c r="V29" s="36" t="s">
        <v>10</v>
      </c>
      <c r="W29" s="57"/>
      <c r="X29" s="57"/>
      <c r="Y29" s="57"/>
      <c r="Z29" s="57"/>
      <c r="AA29" s="57"/>
      <c r="AB29" s="57"/>
      <c r="AD29" s="22"/>
    </row>
    <row r="30" spans="2:30" ht="16.95" customHeight="1" x14ac:dyDescent="0.3">
      <c r="B30" s="21"/>
      <c r="D30" s="64" t="s">
        <v>50</v>
      </c>
      <c r="E30" s="64"/>
      <c r="F30" s="64"/>
      <c r="G30" s="64"/>
      <c r="H30" s="36" t="s">
        <v>10</v>
      </c>
      <c r="I30" s="57" t="s">
        <v>241</v>
      </c>
      <c r="J30" s="57"/>
      <c r="K30" s="57"/>
      <c r="L30" s="57"/>
      <c r="M30" s="57"/>
      <c r="N30" s="57"/>
      <c r="R30" s="64" t="s">
        <v>54</v>
      </c>
      <c r="S30" s="64"/>
      <c r="T30" s="64"/>
      <c r="U30" s="64"/>
      <c r="V30" s="36" t="s">
        <v>10</v>
      </c>
      <c r="W30" s="57" t="s">
        <v>231</v>
      </c>
      <c r="X30" s="57"/>
      <c r="Y30" s="57"/>
      <c r="Z30" s="57"/>
      <c r="AA30" s="57"/>
      <c r="AB30" s="57"/>
      <c r="AD30" s="22"/>
    </row>
    <row r="31" spans="2:30" ht="16.95" customHeight="1" x14ac:dyDescent="0.3">
      <c r="B31" s="21"/>
      <c r="D31" s="64" t="s">
        <v>51</v>
      </c>
      <c r="E31" s="64"/>
      <c r="F31" s="64"/>
      <c r="G31" s="64"/>
      <c r="H31" s="36" t="s">
        <v>10</v>
      </c>
      <c r="I31" s="57" t="s">
        <v>243</v>
      </c>
      <c r="J31" s="57"/>
      <c r="K31" s="57"/>
      <c r="L31" s="57"/>
      <c r="M31" s="57"/>
      <c r="N31" s="57"/>
      <c r="R31" s="64" t="s">
        <v>53</v>
      </c>
      <c r="S31" s="64"/>
      <c r="T31" s="64"/>
      <c r="U31" s="64"/>
      <c r="V31" s="36" t="s">
        <v>10</v>
      </c>
      <c r="W31" s="57" t="s">
        <v>233</v>
      </c>
      <c r="X31" s="57"/>
      <c r="Y31" s="57"/>
      <c r="Z31" s="57"/>
      <c r="AA31" s="57"/>
      <c r="AB31" s="57"/>
      <c r="AD31" s="22"/>
    </row>
    <row r="32" spans="2:30" ht="16.95" customHeight="1" x14ac:dyDescent="0.3">
      <c r="B32" s="21"/>
      <c r="D32" s="64" t="s">
        <v>52</v>
      </c>
      <c r="E32" s="64"/>
      <c r="F32" s="64"/>
      <c r="G32" s="64"/>
      <c r="H32" s="36" t="s">
        <v>10</v>
      </c>
      <c r="I32" s="57"/>
      <c r="J32" s="57"/>
      <c r="K32" s="57"/>
      <c r="L32" s="57"/>
      <c r="M32" s="57"/>
      <c r="N32" s="57"/>
      <c r="AD32" s="22"/>
    </row>
    <row r="33" spans="2:30" ht="16.95" customHeight="1" x14ac:dyDescent="0.3">
      <c r="B33" s="21"/>
      <c r="D33" s="64" t="s">
        <v>54</v>
      </c>
      <c r="E33" s="64"/>
      <c r="F33" s="64"/>
      <c r="G33" s="64"/>
      <c r="H33" s="36" t="s">
        <v>10</v>
      </c>
      <c r="I33" s="67" t="s">
        <v>244</v>
      </c>
      <c r="J33" s="68"/>
      <c r="K33" s="68"/>
      <c r="L33" s="68"/>
      <c r="M33" s="68"/>
      <c r="N33" s="59"/>
      <c r="AD33" s="22"/>
    </row>
    <row r="34" spans="2:30" ht="16.95" customHeight="1" x14ac:dyDescent="0.3">
      <c r="B34" s="21"/>
      <c r="D34" s="64" t="s">
        <v>53</v>
      </c>
      <c r="E34" s="64"/>
      <c r="F34" s="64"/>
      <c r="G34" s="64"/>
      <c r="H34" s="36" t="s">
        <v>10</v>
      </c>
      <c r="I34" s="57" t="s">
        <v>233</v>
      </c>
      <c r="J34" s="57"/>
      <c r="K34" s="57"/>
      <c r="L34" s="57"/>
      <c r="M34" s="57"/>
      <c r="N34" s="57"/>
      <c r="AD34" s="22"/>
    </row>
    <row r="35" spans="2:30" ht="16.95" customHeight="1" x14ac:dyDescent="0.3">
      <c r="B35" s="21"/>
      <c r="D35" s="9"/>
      <c r="E35" s="9"/>
      <c r="F35" s="9"/>
      <c r="G35" s="9"/>
      <c r="I35" s="2"/>
      <c r="J35" s="2"/>
      <c r="K35" s="2"/>
      <c r="L35" s="2"/>
      <c r="M35" s="2"/>
      <c r="N35" s="2"/>
      <c r="R35" s="9"/>
      <c r="S35" s="9"/>
      <c r="T35" s="9"/>
      <c r="U35" s="9"/>
      <c r="W35" s="2"/>
      <c r="X35" s="2"/>
      <c r="Y35" s="2"/>
      <c r="Z35" s="2"/>
      <c r="AA35" s="2"/>
      <c r="AB35" s="2"/>
      <c r="AD35" s="22"/>
    </row>
    <row r="36" spans="2:30" ht="16.95" customHeight="1" x14ac:dyDescent="0.3">
      <c r="B36" s="21"/>
      <c r="H36" s="14" t="s">
        <v>58</v>
      </c>
      <c r="AD36" s="22"/>
    </row>
    <row r="37" spans="2:30" ht="16.95" customHeight="1" x14ac:dyDescent="0.3">
      <c r="B37" s="21"/>
      <c r="H37" s="63" t="s">
        <v>57</v>
      </c>
      <c r="I37" s="63"/>
      <c r="J37" s="63"/>
      <c r="K37" s="63"/>
      <c r="L37" s="63"/>
      <c r="M37" s="63"/>
      <c r="N37" s="63"/>
      <c r="O37" s="58">
        <f>MIN('DIFF TRAFO'!S116:V116,'OCR-GFR HV'!S71:V71,'OCR-GFR LV'!S77:V77,SBEF!P43:S43)</f>
        <v>6</v>
      </c>
      <c r="P37" s="58"/>
      <c r="Q37" s="58"/>
      <c r="R37" s="58"/>
      <c r="S37" s="58"/>
      <c r="T37" s="58"/>
      <c r="U37" s="58"/>
      <c r="AD37" s="22"/>
    </row>
    <row r="38" spans="2:30" ht="16.95" customHeight="1" x14ac:dyDescent="0.3">
      <c r="B38" s="21"/>
      <c r="AD38" s="22"/>
    </row>
    <row r="39" spans="2:30" ht="16.95" customHeight="1" x14ac:dyDescent="0.3">
      <c r="B39" s="21"/>
      <c r="I39" s="14"/>
      <c r="AD39" s="22"/>
    </row>
    <row r="40" spans="2:30" ht="16.95" customHeight="1" x14ac:dyDescent="0.3">
      <c r="B40" s="21"/>
      <c r="C40" s="60" t="s">
        <v>18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 t="s">
        <v>19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22"/>
    </row>
    <row r="41" spans="2:30" ht="16.95" customHeight="1" x14ac:dyDescent="0.3">
      <c r="B41" s="21"/>
      <c r="C41" s="34">
        <v>1</v>
      </c>
      <c r="D41" s="61" t="s">
        <v>265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22"/>
    </row>
    <row r="42" spans="2:30" ht="16.95" customHeight="1" x14ac:dyDescent="0.3">
      <c r="B42" s="21"/>
      <c r="C42" s="34">
        <v>2</v>
      </c>
      <c r="D42" s="59" t="s">
        <v>234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22"/>
    </row>
    <row r="43" spans="2:30" ht="16.95" customHeight="1" x14ac:dyDescent="0.3">
      <c r="B43" s="21"/>
      <c r="C43" s="34">
        <v>3</v>
      </c>
      <c r="D43" s="59" t="s">
        <v>245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22"/>
    </row>
    <row r="44" spans="2:30" ht="16.95" customHeight="1" x14ac:dyDescent="0.3">
      <c r="B44" s="21"/>
      <c r="C44" s="34">
        <v>4</v>
      </c>
      <c r="D44" s="59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22"/>
    </row>
    <row r="45" spans="2:30" ht="16.95" customHeight="1" x14ac:dyDescent="0.3">
      <c r="B45" s="21"/>
      <c r="C45" s="34">
        <v>5</v>
      </c>
      <c r="D45" s="59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 t="s">
        <v>266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22"/>
    </row>
    <row r="46" spans="2:30" ht="16.95" customHeight="1" x14ac:dyDescent="0.3">
      <c r="B46" s="21"/>
      <c r="AD46" s="22"/>
    </row>
    <row r="47" spans="2:30" ht="16.95" customHeight="1" x14ac:dyDescent="0.3">
      <c r="B47" s="21"/>
      <c r="AD47" s="22"/>
    </row>
    <row r="48" spans="2:30" ht="16.95" customHeight="1" x14ac:dyDescent="0.3">
      <c r="B48" s="21"/>
      <c r="E48" s="14" t="s">
        <v>59</v>
      </c>
      <c r="AD48" s="22"/>
    </row>
    <row r="49" spans="2:30" ht="16.95" customHeight="1" x14ac:dyDescent="0.3">
      <c r="B49" s="21"/>
      <c r="E49" s="14" t="s">
        <v>60</v>
      </c>
      <c r="AD49" s="22"/>
    </row>
    <row r="50" spans="2:30" ht="16.95" customHeight="1" x14ac:dyDescent="0.3">
      <c r="B50" s="21"/>
      <c r="E50" s="14" t="s">
        <v>61</v>
      </c>
      <c r="AD50" s="22"/>
    </row>
    <row r="51" spans="2:30" ht="16.95" customHeight="1" thickBot="1" x14ac:dyDescent="0.35"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6"/>
    </row>
    <row r="52" spans="2:30" ht="16.95" customHeight="1" x14ac:dyDescent="0.3"/>
    <row r="53" spans="2:30" ht="16.95" customHeight="1" x14ac:dyDescent="0.3"/>
    <row r="54" spans="2:30" ht="16.95" customHeight="1" x14ac:dyDescent="0.3"/>
    <row r="55" spans="2:30" ht="16.95" customHeight="1" x14ac:dyDescent="0.3"/>
    <row r="56" spans="2:30" ht="16.95" customHeight="1" x14ac:dyDescent="0.3"/>
    <row r="57" spans="2:30" ht="16.95" customHeight="1" x14ac:dyDescent="0.3"/>
    <row r="58" spans="2:30" ht="16.95" customHeight="1" x14ac:dyDescent="0.3"/>
    <row r="59" spans="2:30" ht="16.95" customHeight="1" x14ac:dyDescent="0.3"/>
    <row r="60" spans="2:30" ht="16.95" customHeight="1" x14ac:dyDescent="0.3"/>
    <row r="61" spans="2:30" ht="16.95" customHeight="1" x14ac:dyDescent="0.3"/>
    <row r="62" spans="2:30" ht="16.95" customHeight="1" x14ac:dyDescent="0.3"/>
    <row r="63" spans="2:30" ht="16.95" customHeight="1" x14ac:dyDescent="0.3"/>
    <row r="64" spans="2:30" ht="16.95" customHeight="1" x14ac:dyDescent="0.3"/>
    <row r="65" ht="16.95" customHeight="1" x14ac:dyDescent="0.3"/>
    <row r="66" ht="16.95" customHeight="1" x14ac:dyDescent="0.3"/>
    <row r="67" ht="16.95" customHeight="1" x14ac:dyDescent="0.3"/>
    <row r="68" ht="16.95" customHeight="1" x14ac:dyDescent="0.3"/>
    <row r="69" ht="16.95" customHeight="1" x14ac:dyDescent="0.3"/>
    <row r="70" ht="16.95" customHeight="1" x14ac:dyDescent="0.3"/>
    <row r="71" ht="16.95" customHeight="1" x14ac:dyDescent="0.3"/>
    <row r="72" ht="16.95" customHeight="1" x14ac:dyDescent="0.3"/>
    <row r="73" ht="16.95" customHeight="1" x14ac:dyDescent="0.3"/>
    <row r="74" ht="16.95" customHeight="1" x14ac:dyDescent="0.3"/>
    <row r="75" ht="16.95" customHeight="1" x14ac:dyDescent="0.3"/>
    <row r="76" ht="16.95" customHeight="1" x14ac:dyDescent="0.3"/>
    <row r="77" ht="16.95" customHeight="1" x14ac:dyDescent="0.3"/>
    <row r="78" ht="16.95" customHeight="1" x14ac:dyDescent="0.3"/>
    <row r="79" ht="16.95" customHeight="1" x14ac:dyDescent="0.3"/>
    <row r="80" ht="16.95" customHeight="1" x14ac:dyDescent="0.3"/>
    <row r="81" ht="16.95" customHeight="1" x14ac:dyDescent="0.3"/>
    <row r="82" ht="16.95" customHeight="1" x14ac:dyDescent="0.3"/>
    <row r="83" ht="16.95" customHeight="1" x14ac:dyDescent="0.3"/>
    <row r="84" ht="16.95" customHeight="1" x14ac:dyDescent="0.3"/>
    <row r="85" ht="16.95" customHeight="1" x14ac:dyDescent="0.3"/>
    <row r="86" ht="16.95" customHeight="1" x14ac:dyDescent="0.3"/>
    <row r="87" ht="16.95" customHeight="1" x14ac:dyDescent="0.3"/>
    <row r="88" ht="16.95" customHeight="1" x14ac:dyDescent="0.3"/>
    <row r="89" ht="16.95" customHeight="1" x14ac:dyDescent="0.3"/>
    <row r="90" ht="16.95" customHeight="1" x14ac:dyDescent="0.3"/>
    <row r="91" ht="16.95" customHeight="1" x14ac:dyDescent="0.3"/>
    <row r="92" ht="16.95" customHeight="1" x14ac:dyDescent="0.3"/>
    <row r="93" ht="16.95" customHeight="1" x14ac:dyDescent="0.3"/>
    <row r="94" ht="16.95" customHeight="1" x14ac:dyDescent="0.3"/>
    <row r="95" ht="16.95" customHeight="1" x14ac:dyDescent="0.3"/>
    <row r="96" ht="16.95" customHeight="1" x14ac:dyDescent="0.3"/>
    <row r="97" ht="16.95" customHeight="1" x14ac:dyDescent="0.3"/>
    <row r="98" ht="16.95" customHeight="1" x14ac:dyDescent="0.3"/>
    <row r="99" ht="16.95" customHeight="1" x14ac:dyDescent="0.3"/>
    <row r="100" ht="16.95" customHeight="1" x14ac:dyDescent="0.3"/>
    <row r="101" ht="16.95" customHeight="1" x14ac:dyDescent="0.3"/>
    <row r="102" ht="16.95" customHeight="1" x14ac:dyDescent="0.3"/>
    <row r="103" ht="16.95" customHeight="1" x14ac:dyDescent="0.3"/>
    <row r="104" ht="16.95" customHeight="1" x14ac:dyDescent="0.3"/>
    <row r="105" ht="16.95" customHeight="1" x14ac:dyDescent="0.3"/>
    <row r="106" ht="16.95" customHeight="1" x14ac:dyDescent="0.3"/>
    <row r="107" ht="16.95" customHeight="1" x14ac:dyDescent="0.3"/>
    <row r="108" ht="16.95" customHeight="1" x14ac:dyDescent="0.3"/>
    <row r="109" ht="16.95" customHeight="1" x14ac:dyDescent="0.3"/>
    <row r="110" ht="16.95" customHeight="1" x14ac:dyDescent="0.3"/>
    <row r="111" ht="16.95" customHeight="1" x14ac:dyDescent="0.3"/>
    <row r="112" ht="16.95" customHeight="1" x14ac:dyDescent="0.3"/>
    <row r="113" ht="16.95" customHeight="1" x14ac:dyDescent="0.3"/>
    <row r="114" ht="16.95" customHeight="1" x14ac:dyDescent="0.3"/>
    <row r="115" ht="16.95" customHeight="1" x14ac:dyDescent="0.3"/>
    <row r="116" ht="16.95" customHeight="1" x14ac:dyDescent="0.3"/>
    <row r="117" ht="16.95" customHeight="1" x14ac:dyDescent="0.3"/>
    <row r="118" ht="16.95" customHeight="1" x14ac:dyDescent="0.3"/>
    <row r="119" ht="16.95" customHeight="1" x14ac:dyDescent="0.3"/>
    <row r="120" ht="16.95" customHeight="1" x14ac:dyDescent="0.3"/>
    <row r="121" ht="16.95" customHeight="1" x14ac:dyDescent="0.3"/>
    <row r="122" ht="16.95" customHeight="1" x14ac:dyDescent="0.3"/>
    <row r="123" ht="16.95" customHeight="1" x14ac:dyDescent="0.3"/>
    <row r="124" ht="16.95" customHeight="1" x14ac:dyDescent="0.3"/>
    <row r="125" ht="16.95" customHeight="1" x14ac:dyDescent="0.3"/>
    <row r="126" ht="16.95" customHeight="1" x14ac:dyDescent="0.3"/>
    <row r="127" ht="16.95" customHeight="1" x14ac:dyDescent="0.3"/>
    <row r="128" ht="16.95" customHeight="1" x14ac:dyDescent="0.3"/>
    <row r="129" ht="16.95" customHeight="1" x14ac:dyDescent="0.3"/>
    <row r="130" ht="16.95" customHeight="1" x14ac:dyDescent="0.3"/>
    <row r="131" ht="16.95" customHeight="1" x14ac:dyDescent="0.3"/>
    <row r="132" ht="16.95" customHeight="1" x14ac:dyDescent="0.3"/>
    <row r="133" ht="16.95" customHeight="1" x14ac:dyDescent="0.3"/>
    <row r="134" ht="16.95" customHeight="1" x14ac:dyDescent="0.3"/>
    <row r="135" ht="16.95" customHeight="1" x14ac:dyDescent="0.3"/>
    <row r="136" ht="16.95" customHeight="1" x14ac:dyDescent="0.3"/>
    <row r="137" ht="16.95" customHeight="1" x14ac:dyDescent="0.3"/>
    <row r="138" ht="16.95" customHeight="1" x14ac:dyDescent="0.3"/>
    <row r="139" ht="16.95" customHeight="1" x14ac:dyDescent="0.3"/>
    <row r="140" ht="16.95" customHeight="1" x14ac:dyDescent="0.3"/>
    <row r="141" ht="16.95" customHeight="1" x14ac:dyDescent="0.3"/>
    <row r="142" ht="16.95" customHeight="1" x14ac:dyDescent="0.3"/>
    <row r="143" ht="16.95" customHeight="1" x14ac:dyDescent="0.3"/>
    <row r="144" ht="16.95" customHeight="1" x14ac:dyDescent="0.3"/>
    <row r="145" ht="16.95" customHeight="1" x14ac:dyDescent="0.3"/>
    <row r="146" ht="16.95" customHeight="1" x14ac:dyDescent="0.3"/>
    <row r="147" ht="16.95" customHeight="1" x14ac:dyDescent="0.3"/>
    <row r="148" ht="16.95" customHeight="1" x14ac:dyDescent="0.3"/>
    <row r="149" ht="16.95" customHeight="1" x14ac:dyDescent="0.3"/>
    <row r="150" ht="16.95" customHeight="1" x14ac:dyDescent="0.3"/>
    <row r="151" ht="16.95" customHeight="1" x14ac:dyDescent="0.3"/>
    <row r="152" ht="16.95" customHeight="1" x14ac:dyDescent="0.3"/>
  </sheetData>
  <sheetProtection algorithmName="SHA-512" hashValue="NXnVa5mPT+u/wWOTCbh1ChzFbyZi9CZeCrFN5/r5uewjgjr0XJcbIm3Yi71EgvjB9JCd5k1erTWcswTr1EtCuQ==" saltValue="KuyD1KrkZVpOTgZEVzvyqQ==" spinCount="100000" sheet="1" scenarios="1"/>
  <mergeCells count="84">
    <mergeCell ref="D25:G25"/>
    <mergeCell ref="D24:G24"/>
    <mergeCell ref="I24:N24"/>
    <mergeCell ref="I25:N25"/>
    <mergeCell ref="W26:AB26"/>
    <mergeCell ref="D26:G26"/>
    <mergeCell ref="I26:N26"/>
    <mergeCell ref="W27:AB27"/>
    <mergeCell ref="W28:AB28"/>
    <mergeCell ref="R26:U26"/>
    <mergeCell ref="R27:U27"/>
    <mergeCell ref="R28:U28"/>
    <mergeCell ref="D33:G33"/>
    <mergeCell ref="I33:N33"/>
    <mergeCell ref="R30:U30"/>
    <mergeCell ref="W30:AB30"/>
    <mergeCell ref="D34:G34"/>
    <mergeCell ref="I34:N34"/>
    <mergeCell ref="R31:U31"/>
    <mergeCell ref="W31:AB31"/>
    <mergeCell ref="D31:G31"/>
    <mergeCell ref="I31:N31"/>
    <mergeCell ref="D32:G32"/>
    <mergeCell ref="I32:N32"/>
    <mergeCell ref="R29:U29"/>
    <mergeCell ref="W29:AB29"/>
    <mergeCell ref="D30:G30"/>
    <mergeCell ref="I30:N30"/>
    <mergeCell ref="D29:G29"/>
    <mergeCell ref="I29:N29"/>
    <mergeCell ref="D22:G22"/>
    <mergeCell ref="I22:N22"/>
    <mergeCell ref="D23:G23"/>
    <mergeCell ref="I23:N23"/>
    <mergeCell ref="R22:U22"/>
    <mergeCell ref="I11:K11"/>
    <mergeCell ref="I12:K12"/>
    <mergeCell ref="I13:K13"/>
    <mergeCell ref="D21:G21"/>
    <mergeCell ref="I21:N21"/>
    <mergeCell ref="D18:G18"/>
    <mergeCell ref="I18:N18"/>
    <mergeCell ref="D19:G19"/>
    <mergeCell ref="I19:N19"/>
    <mergeCell ref="I14:K14"/>
    <mergeCell ref="M11:W11"/>
    <mergeCell ref="M12:W12"/>
    <mergeCell ref="M13:W13"/>
    <mergeCell ref="D20:G20"/>
    <mergeCell ref="C4:AC4"/>
    <mergeCell ref="C5:AC5"/>
    <mergeCell ref="C6:AC6"/>
    <mergeCell ref="C7:AC7"/>
    <mergeCell ref="M10:W10"/>
    <mergeCell ref="I10:K10"/>
    <mergeCell ref="W22:AB22"/>
    <mergeCell ref="R23:U23"/>
    <mergeCell ref="W23:AB23"/>
    <mergeCell ref="M14:W14"/>
    <mergeCell ref="R18:U18"/>
    <mergeCell ref="W18:AB18"/>
    <mergeCell ref="R19:U19"/>
    <mergeCell ref="W19:AB19"/>
    <mergeCell ref="R20:U20"/>
    <mergeCell ref="W20:AB20"/>
    <mergeCell ref="R21:U21"/>
    <mergeCell ref="W21:AB21"/>
    <mergeCell ref="I20:N20"/>
    <mergeCell ref="P45:AC45"/>
    <mergeCell ref="O37:U37"/>
    <mergeCell ref="L42:O42"/>
    <mergeCell ref="D43:K43"/>
    <mergeCell ref="L43:O43"/>
    <mergeCell ref="D44:K44"/>
    <mergeCell ref="L44:O44"/>
    <mergeCell ref="D45:K45"/>
    <mergeCell ref="L45:O45"/>
    <mergeCell ref="C40:O40"/>
    <mergeCell ref="P40:AC40"/>
    <mergeCell ref="D41:K41"/>
    <mergeCell ref="L41:O41"/>
    <mergeCell ref="P41:AC44"/>
    <mergeCell ref="D42:K42"/>
    <mergeCell ref="H37:N3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5406-658F-49A0-9A9A-40FF24284B75}">
  <dimension ref="B1:AJ125"/>
  <sheetViews>
    <sheetView tabSelected="1" view="pageBreakPreview" topLeftCell="A104" zoomScale="90" zoomScaleNormal="100" zoomScaleSheetLayoutView="90" workbookViewId="0">
      <selection activeCell="AA14" sqref="AA14"/>
    </sheetView>
  </sheetViews>
  <sheetFormatPr defaultColWidth="8.88671875" defaultRowHeight="16.95" customHeight="1" x14ac:dyDescent="0.3"/>
  <cols>
    <col min="1" max="1" width="4.21875" style="1" customWidth="1"/>
    <col min="2" max="110" width="3.6640625" style="1" customWidth="1"/>
    <col min="111" max="16384" width="8.88671875" style="1"/>
  </cols>
  <sheetData>
    <row r="1" spans="2:36" ht="16.95" customHeight="1" thickBot="1" x14ac:dyDescent="0.35"/>
    <row r="2" spans="2:36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6" ht="16.95" customHeight="1" x14ac:dyDescent="0.3">
      <c r="B3" s="21"/>
      <c r="C3" s="5"/>
      <c r="D3" s="6"/>
      <c r="E3" s="42" t="s">
        <v>9</v>
      </c>
      <c r="F3" s="42"/>
      <c r="G3" s="4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2"/>
    </row>
    <row r="4" spans="2:36" ht="16.95" customHeight="1" x14ac:dyDescent="0.3">
      <c r="B4" s="21"/>
      <c r="C4" s="8"/>
      <c r="E4" s="128" t="s">
        <v>0</v>
      </c>
      <c r="F4" s="128"/>
      <c r="G4" s="14" t="s">
        <v>10</v>
      </c>
      <c r="H4" s="130" t="s">
        <v>228</v>
      </c>
      <c r="I4" s="130"/>
      <c r="J4" s="130"/>
      <c r="K4" s="130"/>
      <c r="L4" s="130"/>
      <c r="M4" s="130"/>
      <c r="N4" s="130"/>
      <c r="O4" s="130"/>
      <c r="P4" s="130"/>
      <c r="Q4" s="130"/>
      <c r="AF4" s="10"/>
      <c r="AG4" s="22"/>
    </row>
    <row r="5" spans="2:36" ht="16.95" customHeight="1" x14ac:dyDescent="0.3">
      <c r="B5" s="21"/>
      <c r="C5" s="11"/>
      <c r="D5" s="12"/>
      <c r="E5" s="129" t="s">
        <v>1</v>
      </c>
      <c r="F5" s="129"/>
      <c r="G5" s="43" t="s">
        <v>10</v>
      </c>
      <c r="H5" s="131" t="s">
        <v>228</v>
      </c>
      <c r="I5" s="131"/>
      <c r="J5" s="131"/>
      <c r="K5" s="131"/>
      <c r="L5" s="131"/>
      <c r="M5" s="131"/>
      <c r="N5" s="131"/>
      <c r="O5" s="131"/>
      <c r="P5" s="131"/>
      <c r="Q5" s="13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2"/>
    </row>
    <row r="6" spans="2:36" ht="16.95" customHeight="1" x14ac:dyDescent="0.3">
      <c r="B6" s="21"/>
      <c r="AG6" s="22"/>
    </row>
    <row r="7" spans="2:36" ht="16.95" customHeight="1" x14ac:dyDescent="0.3">
      <c r="B7" s="21"/>
      <c r="C7" s="14" t="s">
        <v>2</v>
      </c>
      <c r="D7" s="14"/>
      <c r="E7" s="14" t="s">
        <v>79</v>
      </c>
      <c r="AG7" s="22"/>
      <c r="AJ7"/>
    </row>
    <row r="8" spans="2:36" ht="16.95" customHeight="1" thickBot="1" x14ac:dyDescent="0.35">
      <c r="B8" s="21"/>
      <c r="AG8" s="22"/>
    </row>
    <row r="9" spans="2:36" ht="37.200000000000003" customHeight="1" thickBot="1" x14ac:dyDescent="0.35">
      <c r="B9" s="21"/>
      <c r="E9" s="102" t="s">
        <v>3</v>
      </c>
      <c r="F9" s="103"/>
      <c r="G9" s="104" t="s">
        <v>149</v>
      </c>
      <c r="H9" s="104"/>
      <c r="I9" s="104"/>
      <c r="J9" s="92" t="s">
        <v>4</v>
      </c>
      <c r="K9" s="92"/>
      <c r="L9" s="92"/>
      <c r="M9" s="92"/>
      <c r="N9" s="92" t="s">
        <v>5</v>
      </c>
      <c r="O9" s="92"/>
      <c r="P9" s="92"/>
      <c r="Q9" s="105"/>
      <c r="R9" s="106" t="s">
        <v>11</v>
      </c>
      <c r="S9" s="106"/>
      <c r="T9" s="106"/>
      <c r="U9" s="106"/>
      <c r="V9" s="106" t="s">
        <v>8</v>
      </c>
      <c r="W9" s="106"/>
      <c r="X9" s="106"/>
      <c r="Y9" s="106"/>
      <c r="Z9" s="91" t="s">
        <v>6</v>
      </c>
      <c r="AA9" s="92"/>
      <c r="AB9" s="92"/>
      <c r="AC9" s="92"/>
      <c r="AD9" s="92"/>
      <c r="AE9" s="92"/>
      <c r="AF9" s="93"/>
      <c r="AG9" s="22"/>
    </row>
    <row r="10" spans="2:36" ht="16.95" customHeight="1" x14ac:dyDescent="0.3">
      <c r="B10" s="21"/>
      <c r="E10" s="94">
        <v>1</v>
      </c>
      <c r="F10" s="95"/>
      <c r="G10" s="95" t="s">
        <v>202</v>
      </c>
      <c r="H10" s="95"/>
      <c r="I10" s="96"/>
      <c r="J10" s="97">
        <v>0.3</v>
      </c>
      <c r="K10" s="97"/>
      <c r="L10" s="97"/>
      <c r="M10" s="97"/>
      <c r="N10" s="97">
        <v>0.3</v>
      </c>
      <c r="O10" s="97"/>
      <c r="P10" s="97"/>
      <c r="Q10" s="97"/>
      <c r="R10" s="98">
        <f>IFERROR(((N10-J10)/J10),0)</f>
        <v>0</v>
      </c>
      <c r="S10" s="98"/>
      <c r="T10" s="98"/>
      <c r="U10" s="98"/>
      <c r="V10" s="95"/>
      <c r="W10" s="95"/>
      <c r="X10" s="95"/>
      <c r="Y10" s="95"/>
      <c r="Z10" s="100" t="s">
        <v>257</v>
      </c>
      <c r="AA10" s="97"/>
      <c r="AB10" s="97"/>
      <c r="AC10" s="97"/>
      <c r="AD10" s="97"/>
      <c r="AE10" s="97"/>
      <c r="AF10" s="101"/>
      <c r="AG10" s="22"/>
    </row>
    <row r="11" spans="2:36" ht="16.95" customHeight="1" x14ac:dyDescent="0.3">
      <c r="B11" s="21"/>
      <c r="E11" s="87">
        <v>2</v>
      </c>
      <c r="F11" s="88"/>
      <c r="G11" s="88" t="s">
        <v>203</v>
      </c>
      <c r="H11" s="88"/>
      <c r="I11" s="89"/>
      <c r="J11" s="85">
        <v>0.3</v>
      </c>
      <c r="K11" s="85"/>
      <c r="L11" s="85"/>
      <c r="M11" s="85"/>
      <c r="N11" s="85">
        <v>0.3</v>
      </c>
      <c r="O11" s="85"/>
      <c r="P11" s="85"/>
      <c r="Q11" s="85"/>
      <c r="R11" s="90">
        <f t="shared" ref="R11:R13" si="0">IFERROR(((N11-J11)/J11),0)</f>
        <v>0</v>
      </c>
      <c r="S11" s="90"/>
      <c r="T11" s="90"/>
      <c r="U11" s="90"/>
      <c r="V11" s="88"/>
      <c r="W11" s="88"/>
      <c r="X11" s="88"/>
      <c r="Y11" s="88"/>
      <c r="Z11" s="84" t="s">
        <v>258</v>
      </c>
      <c r="AA11" s="85"/>
      <c r="AB11" s="85"/>
      <c r="AC11" s="85"/>
      <c r="AD11" s="85"/>
      <c r="AE11" s="85"/>
      <c r="AF11" s="86"/>
      <c r="AG11" s="22"/>
    </row>
    <row r="12" spans="2:36" ht="16.95" customHeight="1" x14ac:dyDescent="0.3">
      <c r="B12" s="21"/>
      <c r="E12" s="87">
        <v>3</v>
      </c>
      <c r="F12" s="88"/>
      <c r="G12" s="88" t="s">
        <v>204</v>
      </c>
      <c r="H12" s="88"/>
      <c r="I12" s="89"/>
      <c r="J12" s="85">
        <v>0.3</v>
      </c>
      <c r="K12" s="85"/>
      <c r="L12" s="85"/>
      <c r="M12" s="85"/>
      <c r="N12" s="85">
        <v>0.3</v>
      </c>
      <c r="O12" s="85"/>
      <c r="P12" s="85"/>
      <c r="Q12" s="85"/>
      <c r="R12" s="90">
        <f t="shared" si="0"/>
        <v>0</v>
      </c>
      <c r="S12" s="90"/>
      <c r="T12" s="90"/>
      <c r="U12" s="90"/>
      <c r="V12" s="88"/>
      <c r="W12" s="88"/>
      <c r="X12" s="88"/>
      <c r="Y12" s="88"/>
      <c r="Z12" s="84" t="s">
        <v>259</v>
      </c>
      <c r="AA12" s="85"/>
      <c r="AB12" s="85"/>
      <c r="AC12" s="85"/>
      <c r="AD12" s="85"/>
      <c r="AE12" s="85"/>
      <c r="AF12" s="86"/>
      <c r="AG12" s="22"/>
    </row>
    <row r="13" spans="2:36" ht="16.95" customHeight="1" thickBot="1" x14ac:dyDescent="0.35">
      <c r="B13" s="21"/>
      <c r="E13" s="79">
        <v>4</v>
      </c>
      <c r="F13" s="80"/>
      <c r="G13" s="80" t="s">
        <v>28</v>
      </c>
      <c r="H13" s="80"/>
      <c r="I13" s="81"/>
      <c r="J13" s="73">
        <v>0.3</v>
      </c>
      <c r="K13" s="73"/>
      <c r="L13" s="73"/>
      <c r="M13" s="73"/>
      <c r="N13" s="73">
        <v>0.29399999999999998</v>
      </c>
      <c r="O13" s="73"/>
      <c r="P13" s="73"/>
      <c r="Q13" s="73"/>
      <c r="R13" s="82">
        <f t="shared" si="0"/>
        <v>-2.0000000000000018E-2</v>
      </c>
      <c r="S13" s="82"/>
      <c r="T13" s="82"/>
      <c r="U13" s="82"/>
      <c r="V13" s="83">
        <f>IF((ABS(R13)&lt;=0.05),9,IF((ABS(R13)&lt;=0.1),6,1))</f>
        <v>9</v>
      </c>
      <c r="W13" s="83"/>
      <c r="X13" s="83">
        <f t="shared" ref="X13" si="1">(P13-J13)/J13</f>
        <v>-1</v>
      </c>
      <c r="Y13" s="83"/>
      <c r="Z13" s="72" t="s">
        <v>260</v>
      </c>
      <c r="AA13" s="73"/>
      <c r="AB13" s="73"/>
      <c r="AC13" s="73"/>
      <c r="AD13" s="73"/>
      <c r="AE13" s="73"/>
      <c r="AF13" s="74"/>
      <c r="AG13" s="22"/>
    </row>
    <row r="14" spans="2:36" ht="16.95" customHeight="1" x14ac:dyDescent="0.3">
      <c r="B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G14" s="22"/>
    </row>
    <row r="15" spans="2:36" ht="16.95" customHeight="1" x14ac:dyDescent="0.3">
      <c r="B15" s="21"/>
      <c r="E15" s="75" t="s">
        <v>75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7"/>
      <c r="S15" s="78">
        <f>MIN(V10,V11,V12,V13)</f>
        <v>9</v>
      </c>
      <c r="T15" s="78"/>
      <c r="U15" s="78"/>
      <c r="V15" s="78"/>
      <c r="AG15" s="22"/>
    </row>
    <row r="16" spans="2:36" ht="16.95" customHeight="1" x14ac:dyDescent="0.3">
      <c r="B16" s="21"/>
      <c r="AG16" s="22"/>
    </row>
    <row r="17" spans="2:36" ht="16.95" customHeight="1" x14ac:dyDescent="0.3">
      <c r="B17" s="21"/>
      <c r="C17" s="14" t="s">
        <v>7</v>
      </c>
      <c r="D17" s="14"/>
      <c r="E17" s="14" t="s">
        <v>80</v>
      </c>
      <c r="AG17" s="22"/>
      <c r="AJ17"/>
    </row>
    <row r="18" spans="2:36" ht="16.95" customHeight="1" thickBot="1" x14ac:dyDescent="0.35">
      <c r="B18" s="21"/>
      <c r="AG18" s="22"/>
    </row>
    <row r="19" spans="2:36" ht="37.200000000000003" customHeight="1" thickBot="1" x14ac:dyDescent="0.35">
      <c r="B19" s="21"/>
      <c r="E19" s="102" t="s">
        <v>3</v>
      </c>
      <c r="F19" s="103"/>
      <c r="G19" s="104" t="s">
        <v>149</v>
      </c>
      <c r="H19" s="104"/>
      <c r="I19" s="104"/>
      <c r="J19" s="92" t="s">
        <v>85</v>
      </c>
      <c r="K19" s="92"/>
      <c r="L19" s="92"/>
      <c r="M19" s="92"/>
      <c r="N19" s="92" t="s">
        <v>86</v>
      </c>
      <c r="O19" s="92"/>
      <c r="P19" s="92"/>
      <c r="Q19" s="105"/>
      <c r="R19" s="106" t="s">
        <v>11</v>
      </c>
      <c r="S19" s="106"/>
      <c r="T19" s="106"/>
      <c r="U19" s="106"/>
      <c r="V19" s="106" t="s">
        <v>8</v>
      </c>
      <c r="W19" s="106"/>
      <c r="X19" s="106"/>
      <c r="Y19" s="106"/>
      <c r="Z19" s="91" t="s">
        <v>6</v>
      </c>
      <c r="AA19" s="92"/>
      <c r="AB19" s="92"/>
      <c r="AC19" s="92"/>
      <c r="AD19" s="92"/>
      <c r="AE19" s="92"/>
      <c r="AF19" s="93"/>
      <c r="AG19" s="22"/>
    </row>
    <row r="20" spans="2:36" ht="16.95" customHeight="1" thickBot="1" x14ac:dyDescent="0.35">
      <c r="B20" s="21"/>
      <c r="E20" s="94">
        <v>1</v>
      </c>
      <c r="F20" s="95"/>
      <c r="G20" s="95" t="s">
        <v>202</v>
      </c>
      <c r="H20" s="95"/>
      <c r="I20" s="96"/>
      <c r="J20" s="97">
        <v>0</v>
      </c>
      <c r="K20" s="97"/>
      <c r="L20" s="97"/>
      <c r="M20" s="97"/>
      <c r="N20" s="97">
        <v>2.4E-2</v>
      </c>
      <c r="O20" s="97"/>
      <c r="P20" s="97"/>
      <c r="Q20" s="97"/>
      <c r="R20" s="98">
        <f>ABS(N20)</f>
        <v>2.4E-2</v>
      </c>
      <c r="S20" s="98"/>
      <c r="T20" s="98"/>
      <c r="U20" s="98"/>
      <c r="V20" s="83">
        <f t="shared" ref="V20:V22" si="2">IF((ABS(R20)&lt;=0.05),9,IF((ABS(R20)&lt;=0.1),6,1))</f>
        <v>9</v>
      </c>
      <c r="W20" s="83"/>
      <c r="X20" s="83" t="e">
        <f t="shared" ref="X20:X22" si="3">(P20-J20)/J20</f>
        <v>#DIV/0!</v>
      </c>
      <c r="Y20" s="83"/>
      <c r="Z20" s="100" t="s">
        <v>257</v>
      </c>
      <c r="AA20" s="97"/>
      <c r="AB20" s="97"/>
      <c r="AC20" s="97"/>
      <c r="AD20" s="97"/>
      <c r="AE20" s="97"/>
      <c r="AF20" s="101"/>
      <c r="AG20" s="22"/>
    </row>
    <row r="21" spans="2:36" ht="16.95" customHeight="1" thickBot="1" x14ac:dyDescent="0.35">
      <c r="B21" s="21"/>
      <c r="E21" s="87">
        <v>2</v>
      </c>
      <c r="F21" s="88"/>
      <c r="G21" s="88" t="s">
        <v>203</v>
      </c>
      <c r="H21" s="88"/>
      <c r="I21" s="89"/>
      <c r="J21" s="85">
        <v>0</v>
      </c>
      <c r="K21" s="85"/>
      <c r="L21" s="85"/>
      <c r="M21" s="85"/>
      <c r="N21" s="85">
        <v>2.8000000000000001E-2</v>
      </c>
      <c r="O21" s="85"/>
      <c r="P21" s="85"/>
      <c r="Q21" s="85"/>
      <c r="R21" s="90">
        <f t="shared" ref="R21:R23" si="4">ABS(N21)</f>
        <v>2.8000000000000001E-2</v>
      </c>
      <c r="S21" s="90"/>
      <c r="T21" s="90"/>
      <c r="U21" s="90"/>
      <c r="V21" s="83">
        <f t="shared" si="2"/>
        <v>9</v>
      </c>
      <c r="W21" s="83"/>
      <c r="X21" s="83" t="e">
        <f t="shared" si="3"/>
        <v>#DIV/0!</v>
      </c>
      <c r="Y21" s="83"/>
      <c r="Z21" s="84" t="s">
        <v>258</v>
      </c>
      <c r="AA21" s="85"/>
      <c r="AB21" s="85"/>
      <c r="AC21" s="85"/>
      <c r="AD21" s="85"/>
      <c r="AE21" s="85"/>
      <c r="AF21" s="86"/>
      <c r="AG21" s="22"/>
    </row>
    <row r="22" spans="2:36" ht="16.95" customHeight="1" thickBot="1" x14ac:dyDescent="0.35">
      <c r="B22" s="21"/>
      <c r="E22" s="87">
        <v>3</v>
      </c>
      <c r="F22" s="88"/>
      <c r="G22" s="88" t="s">
        <v>204</v>
      </c>
      <c r="H22" s="88"/>
      <c r="I22" s="89"/>
      <c r="J22" s="85">
        <v>0</v>
      </c>
      <c r="K22" s="85"/>
      <c r="L22" s="85"/>
      <c r="M22" s="85"/>
      <c r="N22" s="85">
        <v>2.5000000000000001E-2</v>
      </c>
      <c r="O22" s="85"/>
      <c r="P22" s="85"/>
      <c r="Q22" s="85"/>
      <c r="R22" s="90">
        <f t="shared" si="4"/>
        <v>2.5000000000000001E-2</v>
      </c>
      <c r="S22" s="90"/>
      <c r="T22" s="90"/>
      <c r="U22" s="90"/>
      <c r="V22" s="83">
        <f t="shared" si="2"/>
        <v>9</v>
      </c>
      <c r="W22" s="83"/>
      <c r="X22" s="83" t="e">
        <f t="shared" si="3"/>
        <v>#DIV/0!</v>
      </c>
      <c r="Y22" s="83"/>
      <c r="Z22" s="84" t="s">
        <v>259</v>
      </c>
      <c r="AA22" s="85"/>
      <c r="AB22" s="85"/>
      <c r="AC22" s="85"/>
      <c r="AD22" s="85"/>
      <c r="AE22" s="85"/>
      <c r="AF22" s="86"/>
      <c r="AG22" s="22"/>
    </row>
    <row r="23" spans="2:36" ht="16.95" customHeight="1" thickBot="1" x14ac:dyDescent="0.35">
      <c r="B23" s="21"/>
      <c r="E23" s="79">
        <v>4</v>
      </c>
      <c r="F23" s="80"/>
      <c r="G23" s="80" t="s">
        <v>28</v>
      </c>
      <c r="H23" s="80"/>
      <c r="I23" s="81"/>
      <c r="J23" s="73">
        <v>0</v>
      </c>
      <c r="K23" s="73"/>
      <c r="L23" s="73"/>
      <c r="M23" s="73"/>
      <c r="N23" s="73">
        <v>2.4E-2</v>
      </c>
      <c r="O23" s="73"/>
      <c r="P23" s="73"/>
      <c r="Q23" s="73"/>
      <c r="R23" s="82">
        <f t="shared" si="4"/>
        <v>2.4E-2</v>
      </c>
      <c r="S23" s="82"/>
      <c r="T23" s="82"/>
      <c r="U23" s="82"/>
      <c r="V23" s="83">
        <f t="shared" ref="V23" si="5">IF((ABS(R23)&lt;=0.05),9,IF((ABS(R23)&lt;=0.1),6,1))</f>
        <v>9</v>
      </c>
      <c r="W23" s="83"/>
      <c r="X23" s="83" t="e">
        <f t="shared" ref="X23" si="6">(P23-J23)/J23</f>
        <v>#DIV/0!</v>
      </c>
      <c r="Y23" s="83"/>
      <c r="Z23" s="72" t="s">
        <v>260</v>
      </c>
      <c r="AA23" s="73"/>
      <c r="AB23" s="73"/>
      <c r="AC23" s="73"/>
      <c r="AD23" s="73"/>
      <c r="AE23" s="73"/>
      <c r="AF23" s="74"/>
      <c r="AG23" s="22"/>
    </row>
    <row r="24" spans="2:36" ht="16.95" customHeight="1" x14ac:dyDescent="0.3">
      <c r="B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G24" s="22"/>
    </row>
    <row r="25" spans="2:36" ht="16.95" customHeight="1" x14ac:dyDescent="0.3">
      <c r="B25" s="21"/>
      <c r="E25" s="75" t="s">
        <v>100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7"/>
      <c r="S25" s="78">
        <f>MIN(V20,V21,V22,V23)</f>
        <v>9</v>
      </c>
      <c r="T25" s="78"/>
      <c r="U25" s="78"/>
      <c r="V25" s="78"/>
      <c r="AG25" s="22"/>
    </row>
    <row r="26" spans="2:36" ht="16.95" customHeight="1" x14ac:dyDescent="0.3">
      <c r="B26" s="21"/>
      <c r="AG26" s="22"/>
    </row>
    <row r="27" spans="2:36" ht="16.95" customHeight="1" x14ac:dyDescent="0.3">
      <c r="B27" s="21"/>
      <c r="C27" s="14" t="s">
        <v>12</v>
      </c>
      <c r="D27" s="14"/>
      <c r="E27" s="14" t="s">
        <v>76</v>
      </c>
      <c r="AG27" s="22"/>
      <c r="AJ27"/>
    </row>
    <row r="28" spans="2:36" ht="16.95" customHeight="1" thickBot="1" x14ac:dyDescent="0.35">
      <c r="B28" s="21"/>
      <c r="AG28" s="22"/>
    </row>
    <row r="29" spans="2:36" ht="37.200000000000003" customHeight="1" thickBot="1" x14ac:dyDescent="0.35">
      <c r="B29" s="21"/>
      <c r="E29" s="102" t="s">
        <v>3</v>
      </c>
      <c r="F29" s="103"/>
      <c r="G29" s="104" t="s">
        <v>149</v>
      </c>
      <c r="H29" s="104"/>
      <c r="I29" s="104"/>
      <c r="J29" s="92" t="s">
        <v>4</v>
      </c>
      <c r="K29" s="92"/>
      <c r="L29" s="92"/>
      <c r="M29" s="92"/>
      <c r="N29" s="92" t="s">
        <v>5</v>
      </c>
      <c r="O29" s="92"/>
      <c r="P29" s="92"/>
      <c r="Q29" s="105"/>
      <c r="R29" s="106" t="s">
        <v>11</v>
      </c>
      <c r="S29" s="106"/>
      <c r="T29" s="106"/>
      <c r="U29" s="106"/>
      <c r="V29" s="106" t="s">
        <v>8</v>
      </c>
      <c r="W29" s="106"/>
      <c r="X29" s="106"/>
      <c r="Y29" s="106"/>
      <c r="Z29" s="91" t="s">
        <v>6</v>
      </c>
      <c r="AA29" s="92"/>
      <c r="AB29" s="92"/>
      <c r="AC29" s="92"/>
      <c r="AD29" s="92"/>
      <c r="AE29" s="92"/>
      <c r="AF29" s="93"/>
      <c r="AG29" s="22"/>
    </row>
    <row r="30" spans="2:36" ht="16.95" customHeight="1" x14ac:dyDescent="0.3">
      <c r="B30" s="21"/>
      <c r="E30" s="94">
        <v>1</v>
      </c>
      <c r="F30" s="95"/>
      <c r="G30" s="95" t="s">
        <v>202</v>
      </c>
      <c r="H30" s="95"/>
      <c r="I30" s="96"/>
      <c r="J30" s="97">
        <v>0.3</v>
      </c>
      <c r="K30" s="97"/>
      <c r="L30" s="97"/>
      <c r="M30" s="97"/>
      <c r="N30" s="97">
        <v>0.30299999999999999</v>
      </c>
      <c r="O30" s="97"/>
      <c r="P30" s="97"/>
      <c r="Q30" s="97"/>
      <c r="R30" s="98">
        <f>IFERROR(((N30-J30)/J30),0)</f>
        <v>1.0000000000000009E-2</v>
      </c>
      <c r="S30" s="98"/>
      <c r="T30" s="98"/>
      <c r="U30" s="98"/>
      <c r="V30" s="95"/>
      <c r="W30" s="95"/>
      <c r="X30" s="95"/>
      <c r="Y30" s="95"/>
      <c r="Z30" s="100" t="s">
        <v>257</v>
      </c>
      <c r="AA30" s="97"/>
      <c r="AB30" s="97"/>
      <c r="AC30" s="97"/>
      <c r="AD30" s="97"/>
      <c r="AE30" s="97"/>
      <c r="AF30" s="101"/>
      <c r="AG30" s="22"/>
    </row>
    <row r="31" spans="2:36" ht="16.95" customHeight="1" x14ac:dyDescent="0.3">
      <c r="B31" s="21"/>
      <c r="E31" s="87">
        <v>2</v>
      </c>
      <c r="F31" s="88"/>
      <c r="G31" s="88" t="s">
        <v>203</v>
      </c>
      <c r="H31" s="88"/>
      <c r="I31" s="89"/>
      <c r="J31" s="85">
        <v>0.3</v>
      </c>
      <c r="K31" s="85"/>
      <c r="L31" s="85"/>
      <c r="M31" s="85"/>
      <c r="N31" s="85">
        <v>0.3</v>
      </c>
      <c r="O31" s="85"/>
      <c r="P31" s="85"/>
      <c r="Q31" s="85"/>
      <c r="R31" s="90">
        <f t="shared" ref="R31:R33" si="7">IFERROR(((N31-J31)/J31),0)</f>
        <v>0</v>
      </c>
      <c r="S31" s="90"/>
      <c r="T31" s="90"/>
      <c r="U31" s="90"/>
      <c r="V31" s="88"/>
      <c r="W31" s="88"/>
      <c r="X31" s="88"/>
      <c r="Y31" s="88"/>
      <c r="Z31" s="84" t="s">
        <v>258</v>
      </c>
      <c r="AA31" s="85"/>
      <c r="AB31" s="85"/>
      <c r="AC31" s="85"/>
      <c r="AD31" s="85"/>
      <c r="AE31" s="85"/>
      <c r="AF31" s="86"/>
      <c r="AG31" s="22"/>
    </row>
    <row r="32" spans="2:36" ht="16.95" customHeight="1" x14ac:dyDescent="0.3">
      <c r="B32" s="21"/>
      <c r="E32" s="87">
        <v>3</v>
      </c>
      <c r="F32" s="88"/>
      <c r="G32" s="88" t="s">
        <v>204</v>
      </c>
      <c r="H32" s="88"/>
      <c r="I32" s="89"/>
      <c r="J32" s="85">
        <v>0.3</v>
      </c>
      <c r="K32" s="85"/>
      <c r="L32" s="85"/>
      <c r="M32" s="85"/>
      <c r="N32" s="85">
        <v>0.3</v>
      </c>
      <c r="O32" s="85"/>
      <c r="P32" s="85"/>
      <c r="Q32" s="85"/>
      <c r="R32" s="90">
        <f t="shared" si="7"/>
        <v>0</v>
      </c>
      <c r="S32" s="90"/>
      <c r="T32" s="90"/>
      <c r="U32" s="90"/>
      <c r="V32" s="88"/>
      <c r="W32" s="88"/>
      <c r="X32" s="88"/>
      <c r="Y32" s="88"/>
      <c r="Z32" s="84" t="s">
        <v>259</v>
      </c>
      <c r="AA32" s="85"/>
      <c r="AB32" s="85"/>
      <c r="AC32" s="85"/>
      <c r="AD32" s="85"/>
      <c r="AE32" s="85"/>
      <c r="AF32" s="86"/>
      <c r="AG32" s="22"/>
    </row>
    <row r="33" spans="2:36" ht="16.95" customHeight="1" thickBot="1" x14ac:dyDescent="0.35">
      <c r="B33" s="21"/>
      <c r="E33" s="79">
        <v>4</v>
      </c>
      <c r="F33" s="80"/>
      <c r="G33" s="80" t="s">
        <v>28</v>
      </c>
      <c r="H33" s="80"/>
      <c r="I33" s="81"/>
      <c r="J33" s="73">
        <v>0.3</v>
      </c>
      <c r="K33" s="73"/>
      <c r="L33" s="73"/>
      <c r="M33" s="73"/>
      <c r="N33" s="73">
        <v>0.33</v>
      </c>
      <c r="O33" s="73"/>
      <c r="P33" s="73"/>
      <c r="Q33" s="73"/>
      <c r="R33" s="82">
        <f t="shared" si="7"/>
        <v>0.10000000000000009</v>
      </c>
      <c r="S33" s="82"/>
      <c r="T33" s="82"/>
      <c r="U33" s="82"/>
      <c r="V33" s="83">
        <f t="shared" ref="V33" si="8">IF((ABS(R33)&lt;=0.05),9,IF((ABS(R33)&lt;=0.1),6,1))</f>
        <v>6</v>
      </c>
      <c r="W33" s="83"/>
      <c r="X33" s="83">
        <f t="shared" ref="X33" si="9">(P33-J33)/J33</f>
        <v>-1</v>
      </c>
      <c r="Y33" s="83"/>
      <c r="Z33" s="72" t="s">
        <v>260</v>
      </c>
      <c r="AA33" s="73"/>
      <c r="AB33" s="73"/>
      <c r="AC33" s="73"/>
      <c r="AD33" s="73"/>
      <c r="AE33" s="73"/>
      <c r="AF33" s="74"/>
      <c r="AG33" s="22"/>
    </row>
    <row r="34" spans="2:36" ht="16.95" customHeight="1" x14ac:dyDescent="0.3">
      <c r="B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G34" s="22"/>
    </row>
    <row r="35" spans="2:36" ht="16.95" customHeight="1" x14ac:dyDescent="0.3">
      <c r="B35" s="21"/>
      <c r="E35" s="75" t="s">
        <v>77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7"/>
      <c r="S35" s="78">
        <f>MIN(V30,V31,V32,V33)</f>
        <v>6</v>
      </c>
      <c r="T35" s="78"/>
      <c r="U35" s="78"/>
      <c r="V35" s="78"/>
      <c r="AG35" s="22"/>
    </row>
    <row r="36" spans="2:36" ht="16.95" customHeight="1" x14ac:dyDescent="0.3">
      <c r="B36" s="21"/>
      <c r="AG36" s="22"/>
    </row>
    <row r="37" spans="2:36" ht="16.95" customHeight="1" x14ac:dyDescent="0.3">
      <c r="B37" s="21"/>
      <c r="C37" s="14" t="s">
        <v>14</v>
      </c>
      <c r="D37" s="14"/>
      <c r="E37" s="14" t="s">
        <v>81</v>
      </c>
      <c r="AG37" s="22"/>
      <c r="AJ37"/>
    </row>
    <row r="38" spans="2:36" ht="16.95" customHeight="1" thickBot="1" x14ac:dyDescent="0.35">
      <c r="B38" s="21"/>
      <c r="AG38" s="22"/>
    </row>
    <row r="39" spans="2:36" ht="37.200000000000003" customHeight="1" thickBot="1" x14ac:dyDescent="0.35">
      <c r="B39" s="21"/>
      <c r="E39" s="102" t="s">
        <v>3</v>
      </c>
      <c r="F39" s="103"/>
      <c r="G39" s="104" t="s">
        <v>149</v>
      </c>
      <c r="H39" s="104"/>
      <c r="I39" s="104"/>
      <c r="J39" s="92" t="s">
        <v>85</v>
      </c>
      <c r="K39" s="92"/>
      <c r="L39" s="92"/>
      <c r="M39" s="92"/>
      <c r="N39" s="92" t="s">
        <v>86</v>
      </c>
      <c r="O39" s="92"/>
      <c r="P39" s="92"/>
      <c r="Q39" s="105"/>
      <c r="R39" s="106" t="s">
        <v>11</v>
      </c>
      <c r="S39" s="106"/>
      <c r="T39" s="106"/>
      <c r="U39" s="106"/>
      <c r="V39" s="106" t="s">
        <v>8</v>
      </c>
      <c r="W39" s="106"/>
      <c r="X39" s="106"/>
      <c r="Y39" s="106"/>
      <c r="Z39" s="91" t="s">
        <v>6</v>
      </c>
      <c r="AA39" s="92"/>
      <c r="AB39" s="92"/>
      <c r="AC39" s="92"/>
      <c r="AD39" s="92"/>
      <c r="AE39" s="92"/>
      <c r="AF39" s="93"/>
      <c r="AG39" s="22"/>
    </row>
    <row r="40" spans="2:36" ht="16.95" customHeight="1" x14ac:dyDescent="0.3">
      <c r="B40" s="21"/>
      <c r="E40" s="94">
        <v>1</v>
      </c>
      <c r="F40" s="95"/>
      <c r="G40" s="95" t="s">
        <v>25</v>
      </c>
      <c r="H40" s="95"/>
      <c r="I40" s="96"/>
      <c r="J40" s="97">
        <v>0</v>
      </c>
      <c r="K40" s="97"/>
      <c r="L40" s="97"/>
      <c r="M40" s="97"/>
      <c r="N40" s="97">
        <v>2.4E-2</v>
      </c>
      <c r="O40" s="97"/>
      <c r="P40" s="97"/>
      <c r="Q40" s="97"/>
      <c r="R40" s="98">
        <f>ABS(N40)</f>
        <v>2.4E-2</v>
      </c>
      <c r="S40" s="98"/>
      <c r="T40" s="98"/>
      <c r="U40" s="98"/>
      <c r="V40" s="99">
        <f>IF((ABS(R40)&lt;=0.05),9,IF((ABS(R40)&lt;=0.1),6,1))</f>
        <v>9</v>
      </c>
      <c r="W40" s="99"/>
      <c r="X40" s="99" t="e">
        <f>(P40-J40)/J40</f>
        <v>#DIV/0!</v>
      </c>
      <c r="Y40" s="99"/>
      <c r="Z40" s="100" t="s">
        <v>257</v>
      </c>
      <c r="AA40" s="97"/>
      <c r="AB40" s="97"/>
      <c r="AC40" s="97"/>
      <c r="AD40" s="97"/>
      <c r="AE40" s="97"/>
      <c r="AF40" s="101"/>
      <c r="AG40" s="22"/>
    </row>
    <row r="41" spans="2:36" ht="16.95" customHeight="1" x14ac:dyDescent="0.3">
      <c r="B41" s="21"/>
      <c r="E41" s="87">
        <v>2</v>
      </c>
      <c r="F41" s="88"/>
      <c r="G41" s="88" t="s">
        <v>26</v>
      </c>
      <c r="H41" s="88"/>
      <c r="I41" s="89"/>
      <c r="J41" s="85">
        <v>0</v>
      </c>
      <c r="K41" s="85"/>
      <c r="L41" s="85"/>
      <c r="M41" s="85"/>
      <c r="N41" s="85">
        <v>2.8000000000000001E-2</v>
      </c>
      <c r="O41" s="85"/>
      <c r="P41" s="85"/>
      <c r="Q41" s="85"/>
      <c r="R41" s="90">
        <f t="shared" ref="R41:R43" si="10">ABS(N41)</f>
        <v>2.8000000000000001E-2</v>
      </c>
      <c r="S41" s="90"/>
      <c r="T41" s="90"/>
      <c r="U41" s="90"/>
      <c r="V41" s="78">
        <f t="shared" ref="V41:V43" si="11">IF((ABS(R41)&lt;=0.05),9,IF((ABS(R41)&lt;=0.1),6,1))</f>
        <v>9</v>
      </c>
      <c r="W41" s="78"/>
      <c r="X41" s="78" t="e">
        <f t="shared" ref="X41:X43" si="12">(P41-J41)/J41</f>
        <v>#DIV/0!</v>
      </c>
      <c r="Y41" s="78"/>
      <c r="Z41" s="84" t="s">
        <v>258</v>
      </c>
      <c r="AA41" s="85"/>
      <c r="AB41" s="85"/>
      <c r="AC41" s="85"/>
      <c r="AD41" s="85"/>
      <c r="AE41" s="85"/>
      <c r="AF41" s="86"/>
      <c r="AG41" s="22"/>
    </row>
    <row r="42" spans="2:36" ht="16.95" customHeight="1" x14ac:dyDescent="0.3">
      <c r="B42" s="21"/>
      <c r="E42" s="87">
        <v>3</v>
      </c>
      <c r="F42" s="88"/>
      <c r="G42" s="88" t="s">
        <v>27</v>
      </c>
      <c r="H42" s="88"/>
      <c r="I42" s="89"/>
      <c r="J42" s="85">
        <v>0</v>
      </c>
      <c r="K42" s="85"/>
      <c r="L42" s="85"/>
      <c r="M42" s="85"/>
      <c r="N42" s="85">
        <v>2.5000000000000001E-2</v>
      </c>
      <c r="O42" s="85"/>
      <c r="P42" s="85"/>
      <c r="Q42" s="85"/>
      <c r="R42" s="90">
        <f t="shared" si="10"/>
        <v>2.5000000000000001E-2</v>
      </c>
      <c r="S42" s="90"/>
      <c r="T42" s="90"/>
      <c r="U42" s="90"/>
      <c r="V42" s="78">
        <f t="shared" si="11"/>
        <v>9</v>
      </c>
      <c r="W42" s="78"/>
      <c r="X42" s="78" t="e">
        <f t="shared" si="12"/>
        <v>#DIV/0!</v>
      </c>
      <c r="Y42" s="78"/>
      <c r="Z42" s="84" t="s">
        <v>259</v>
      </c>
      <c r="AA42" s="85"/>
      <c r="AB42" s="85"/>
      <c r="AC42" s="85"/>
      <c r="AD42" s="85"/>
      <c r="AE42" s="85"/>
      <c r="AF42" s="86"/>
      <c r="AG42" s="22"/>
    </row>
    <row r="43" spans="2:36" ht="16.95" customHeight="1" thickBot="1" x14ac:dyDescent="0.35">
      <c r="B43" s="21"/>
      <c r="E43" s="79">
        <v>4</v>
      </c>
      <c r="F43" s="80"/>
      <c r="G43" s="80" t="s">
        <v>28</v>
      </c>
      <c r="H43" s="80"/>
      <c r="I43" s="81"/>
      <c r="J43" s="73">
        <v>0</v>
      </c>
      <c r="K43" s="73"/>
      <c r="L43" s="73"/>
      <c r="M43" s="73"/>
      <c r="N43" s="73">
        <v>2.4E-2</v>
      </c>
      <c r="O43" s="73"/>
      <c r="P43" s="73"/>
      <c r="Q43" s="73"/>
      <c r="R43" s="82">
        <f t="shared" si="10"/>
        <v>2.4E-2</v>
      </c>
      <c r="S43" s="82"/>
      <c r="T43" s="82"/>
      <c r="U43" s="82"/>
      <c r="V43" s="83">
        <f t="shared" si="11"/>
        <v>9</v>
      </c>
      <c r="W43" s="83"/>
      <c r="X43" s="83" t="e">
        <f t="shared" si="12"/>
        <v>#DIV/0!</v>
      </c>
      <c r="Y43" s="83"/>
      <c r="Z43" s="72" t="s">
        <v>260</v>
      </c>
      <c r="AA43" s="73"/>
      <c r="AB43" s="73"/>
      <c r="AC43" s="73"/>
      <c r="AD43" s="73"/>
      <c r="AE43" s="73"/>
      <c r="AF43" s="74"/>
      <c r="AG43" s="22"/>
    </row>
    <row r="44" spans="2:36" ht="16.95" customHeight="1" x14ac:dyDescent="0.3">
      <c r="B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G44" s="22"/>
    </row>
    <row r="45" spans="2:36" ht="16.95" customHeight="1" x14ac:dyDescent="0.3">
      <c r="B45" s="21"/>
      <c r="E45" s="75" t="s">
        <v>101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7"/>
      <c r="S45" s="78">
        <f>MIN(V40,V41,V42,V43)</f>
        <v>9</v>
      </c>
      <c r="T45" s="78"/>
      <c r="U45" s="78"/>
      <c r="V45" s="78"/>
      <c r="AG45" s="22"/>
    </row>
    <row r="46" spans="2:36" ht="16.95" customHeight="1" x14ac:dyDescent="0.3">
      <c r="B46" s="21"/>
      <c r="AG46" s="22"/>
    </row>
    <row r="47" spans="2:36" ht="16.95" customHeight="1" x14ac:dyDescent="0.3">
      <c r="B47" s="21"/>
      <c r="C47" s="14" t="s">
        <v>16</v>
      </c>
      <c r="D47" s="14"/>
      <c r="E47" s="14" t="s">
        <v>78</v>
      </c>
      <c r="AG47" s="22"/>
      <c r="AJ47"/>
    </row>
    <row r="48" spans="2:36" ht="16.95" customHeight="1" thickBot="1" x14ac:dyDescent="0.35">
      <c r="B48" s="21"/>
      <c r="AG48" s="22"/>
    </row>
    <row r="49" spans="2:36" ht="37.200000000000003" customHeight="1" thickBot="1" x14ac:dyDescent="0.35">
      <c r="B49" s="21"/>
      <c r="E49" s="102" t="s">
        <v>3</v>
      </c>
      <c r="F49" s="103"/>
      <c r="G49" s="104" t="s">
        <v>149</v>
      </c>
      <c r="H49" s="104"/>
      <c r="I49" s="104"/>
      <c r="J49" s="92" t="s">
        <v>4</v>
      </c>
      <c r="K49" s="92"/>
      <c r="L49" s="92"/>
      <c r="M49" s="92"/>
      <c r="N49" s="92" t="s">
        <v>5</v>
      </c>
      <c r="O49" s="92"/>
      <c r="P49" s="92"/>
      <c r="Q49" s="105"/>
      <c r="R49" s="106" t="s">
        <v>11</v>
      </c>
      <c r="S49" s="106"/>
      <c r="T49" s="106"/>
      <c r="U49" s="106"/>
      <c r="V49" s="106" t="s">
        <v>8</v>
      </c>
      <c r="W49" s="106"/>
      <c r="X49" s="106"/>
      <c r="Y49" s="106"/>
      <c r="Z49" s="91" t="s">
        <v>6</v>
      </c>
      <c r="AA49" s="92"/>
      <c r="AB49" s="92"/>
      <c r="AC49" s="92"/>
      <c r="AD49" s="92"/>
      <c r="AE49" s="92"/>
      <c r="AF49" s="93"/>
      <c r="AG49" s="22"/>
    </row>
    <row r="50" spans="2:36" ht="16.95" customHeight="1" x14ac:dyDescent="0.3">
      <c r="B50" s="21"/>
      <c r="E50" s="94">
        <v>1</v>
      </c>
      <c r="F50" s="95"/>
      <c r="G50" s="95" t="s">
        <v>202</v>
      </c>
      <c r="H50" s="95"/>
      <c r="I50" s="96"/>
      <c r="J50" s="97"/>
      <c r="K50" s="97"/>
      <c r="L50" s="97"/>
      <c r="M50" s="97"/>
      <c r="N50" s="97"/>
      <c r="O50" s="97"/>
      <c r="P50" s="97"/>
      <c r="Q50" s="97"/>
      <c r="R50" s="98">
        <f>IFERROR(((N50-J50)/J50),0)</f>
        <v>0</v>
      </c>
      <c r="S50" s="98"/>
      <c r="T50" s="98"/>
      <c r="U50" s="98"/>
      <c r="V50" s="95"/>
      <c r="W50" s="95"/>
      <c r="X50" s="95"/>
      <c r="Y50" s="95"/>
      <c r="Z50" s="100"/>
      <c r="AA50" s="97"/>
      <c r="AB50" s="97"/>
      <c r="AC50" s="97"/>
      <c r="AD50" s="97"/>
      <c r="AE50" s="97"/>
      <c r="AF50" s="101"/>
      <c r="AG50" s="22"/>
    </row>
    <row r="51" spans="2:36" ht="16.95" customHeight="1" x14ac:dyDescent="0.3">
      <c r="B51" s="21"/>
      <c r="E51" s="87">
        <v>2</v>
      </c>
      <c r="F51" s="88"/>
      <c r="G51" s="88" t="s">
        <v>203</v>
      </c>
      <c r="H51" s="88"/>
      <c r="I51" s="89"/>
      <c r="J51" s="85"/>
      <c r="K51" s="85"/>
      <c r="L51" s="85"/>
      <c r="M51" s="85"/>
      <c r="N51" s="85"/>
      <c r="O51" s="85"/>
      <c r="P51" s="85"/>
      <c r="Q51" s="85"/>
      <c r="R51" s="90">
        <f t="shared" ref="R51:R53" si="13">IFERROR(((N51-J51)/J51),0)</f>
        <v>0</v>
      </c>
      <c r="S51" s="90"/>
      <c r="T51" s="90"/>
      <c r="U51" s="90"/>
      <c r="V51" s="88"/>
      <c r="W51" s="88"/>
      <c r="X51" s="88"/>
      <c r="Y51" s="88"/>
      <c r="Z51" s="84"/>
      <c r="AA51" s="85"/>
      <c r="AB51" s="85"/>
      <c r="AC51" s="85"/>
      <c r="AD51" s="85"/>
      <c r="AE51" s="85"/>
      <c r="AF51" s="86"/>
      <c r="AG51" s="22"/>
    </row>
    <row r="52" spans="2:36" ht="16.95" customHeight="1" x14ac:dyDescent="0.3">
      <c r="B52" s="21"/>
      <c r="E52" s="87">
        <v>3</v>
      </c>
      <c r="F52" s="88"/>
      <c r="G52" s="88" t="s">
        <v>204</v>
      </c>
      <c r="H52" s="88"/>
      <c r="I52" s="89"/>
      <c r="J52" s="85"/>
      <c r="K52" s="85"/>
      <c r="L52" s="85"/>
      <c r="M52" s="85"/>
      <c r="N52" s="85"/>
      <c r="O52" s="85"/>
      <c r="P52" s="85"/>
      <c r="Q52" s="85"/>
      <c r="R52" s="90">
        <f t="shared" si="13"/>
        <v>0</v>
      </c>
      <c r="S52" s="90"/>
      <c r="T52" s="90"/>
      <c r="U52" s="90"/>
      <c r="V52" s="88"/>
      <c r="W52" s="88"/>
      <c r="X52" s="88"/>
      <c r="Y52" s="88"/>
      <c r="Z52" s="84"/>
      <c r="AA52" s="85"/>
      <c r="AB52" s="85"/>
      <c r="AC52" s="85"/>
      <c r="AD52" s="85"/>
      <c r="AE52" s="85"/>
      <c r="AF52" s="86"/>
      <c r="AG52" s="22"/>
    </row>
    <row r="53" spans="2:36" ht="16.95" customHeight="1" thickBot="1" x14ac:dyDescent="0.35">
      <c r="B53" s="21"/>
      <c r="E53" s="79">
        <v>4</v>
      </c>
      <c r="F53" s="80"/>
      <c r="G53" s="80" t="s">
        <v>28</v>
      </c>
      <c r="H53" s="80"/>
      <c r="I53" s="81"/>
      <c r="J53" s="73"/>
      <c r="K53" s="73"/>
      <c r="L53" s="73"/>
      <c r="M53" s="73"/>
      <c r="N53" s="73"/>
      <c r="O53" s="73"/>
      <c r="P53" s="73"/>
      <c r="Q53" s="73"/>
      <c r="R53" s="82">
        <f t="shared" si="13"/>
        <v>0</v>
      </c>
      <c r="S53" s="82"/>
      <c r="T53" s="82"/>
      <c r="U53" s="82"/>
      <c r="V53" s="83">
        <f>IF((ABS(R53)&lt;=0.05),9,IF((ABS(R53)&lt;=0.1),6,1))</f>
        <v>9</v>
      </c>
      <c r="W53" s="83"/>
      <c r="X53" s="83" t="e">
        <f t="shared" ref="X53" si="14">(P53-J53)/J53</f>
        <v>#DIV/0!</v>
      </c>
      <c r="Y53" s="83"/>
      <c r="Z53" s="72"/>
      <c r="AA53" s="73"/>
      <c r="AB53" s="73"/>
      <c r="AC53" s="73"/>
      <c r="AD53" s="73"/>
      <c r="AE53" s="73"/>
      <c r="AF53" s="74"/>
      <c r="AG53" s="22"/>
    </row>
    <row r="54" spans="2:36" ht="16.95" customHeight="1" x14ac:dyDescent="0.3">
      <c r="B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G54" s="22"/>
    </row>
    <row r="55" spans="2:36" ht="16.95" customHeight="1" x14ac:dyDescent="0.3">
      <c r="B55" s="21"/>
      <c r="E55" s="75" t="s">
        <v>83</v>
      </c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7"/>
      <c r="S55" s="78">
        <f>MIN(V50,V51,V52,V53)</f>
        <v>9</v>
      </c>
      <c r="T55" s="78"/>
      <c r="U55" s="78"/>
      <c r="V55" s="78"/>
      <c r="AG55" s="22"/>
    </row>
    <row r="56" spans="2:36" ht="16.95" customHeight="1" x14ac:dyDescent="0.3">
      <c r="B56" s="21"/>
      <c r="AG56" s="22"/>
    </row>
    <row r="57" spans="2:36" ht="16.95" customHeight="1" x14ac:dyDescent="0.3">
      <c r="B57" s="21"/>
      <c r="C57" s="14" t="s">
        <v>22</v>
      </c>
      <c r="D57" s="14"/>
      <c r="E57" s="14" t="s">
        <v>82</v>
      </c>
      <c r="AG57" s="22"/>
      <c r="AJ57"/>
    </row>
    <row r="58" spans="2:36" ht="16.95" customHeight="1" thickBot="1" x14ac:dyDescent="0.35">
      <c r="B58" s="21"/>
      <c r="AG58" s="22"/>
    </row>
    <row r="59" spans="2:36" ht="37.200000000000003" customHeight="1" thickBot="1" x14ac:dyDescent="0.35">
      <c r="B59" s="21"/>
      <c r="E59" s="102" t="s">
        <v>3</v>
      </c>
      <c r="F59" s="103"/>
      <c r="G59" s="104" t="s">
        <v>149</v>
      </c>
      <c r="H59" s="104"/>
      <c r="I59" s="104"/>
      <c r="J59" s="92" t="s">
        <v>85</v>
      </c>
      <c r="K59" s="92"/>
      <c r="L59" s="92"/>
      <c r="M59" s="92"/>
      <c r="N59" s="92" t="s">
        <v>86</v>
      </c>
      <c r="O59" s="92"/>
      <c r="P59" s="92"/>
      <c r="Q59" s="105"/>
      <c r="R59" s="106" t="s">
        <v>11</v>
      </c>
      <c r="S59" s="106"/>
      <c r="T59" s="106"/>
      <c r="U59" s="106"/>
      <c r="V59" s="106" t="s">
        <v>8</v>
      </c>
      <c r="W59" s="106"/>
      <c r="X59" s="106"/>
      <c r="Y59" s="106"/>
      <c r="Z59" s="91" t="s">
        <v>6</v>
      </c>
      <c r="AA59" s="92"/>
      <c r="AB59" s="92"/>
      <c r="AC59" s="92"/>
      <c r="AD59" s="92"/>
      <c r="AE59" s="92"/>
      <c r="AF59" s="93"/>
      <c r="AG59" s="22"/>
    </row>
    <row r="60" spans="2:36" ht="16.95" customHeight="1" x14ac:dyDescent="0.3">
      <c r="B60" s="21"/>
      <c r="E60" s="94">
        <v>1</v>
      </c>
      <c r="F60" s="95"/>
      <c r="G60" s="95" t="s">
        <v>25</v>
      </c>
      <c r="H60" s="95"/>
      <c r="I60" s="96"/>
      <c r="J60" s="97"/>
      <c r="K60" s="97"/>
      <c r="L60" s="97"/>
      <c r="M60" s="97"/>
      <c r="N60" s="97"/>
      <c r="O60" s="97"/>
      <c r="P60" s="97"/>
      <c r="Q60" s="97"/>
      <c r="R60" s="98">
        <f>ABS(N60)</f>
        <v>0</v>
      </c>
      <c r="S60" s="98"/>
      <c r="T60" s="98"/>
      <c r="U60" s="98"/>
      <c r="V60" s="99">
        <f>IF((ABS(R60)&lt;=0.05),9,IF((ABS(R60)&lt;=0.1),6,1))</f>
        <v>9</v>
      </c>
      <c r="W60" s="99"/>
      <c r="X60" s="99" t="e">
        <f>(P60-J60)/J60</f>
        <v>#DIV/0!</v>
      </c>
      <c r="Y60" s="99"/>
      <c r="Z60" s="100"/>
      <c r="AA60" s="97"/>
      <c r="AB60" s="97"/>
      <c r="AC60" s="97"/>
      <c r="AD60" s="97"/>
      <c r="AE60" s="97"/>
      <c r="AF60" s="101"/>
      <c r="AG60" s="22"/>
    </row>
    <row r="61" spans="2:36" ht="16.95" customHeight="1" x14ac:dyDescent="0.3">
      <c r="B61" s="21"/>
      <c r="E61" s="87">
        <v>2</v>
      </c>
      <c r="F61" s="88"/>
      <c r="G61" s="88" t="s">
        <v>26</v>
      </c>
      <c r="H61" s="88"/>
      <c r="I61" s="89"/>
      <c r="J61" s="85"/>
      <c r="K61" s="85"/>
      <c r="L61" s="85"/>
      <c r="M61" s="85"/>
      <c r="N61" s="85"/>
      <c r="O61" s="85"/>
      <c r="P61" s="85"/>
      <c r="Q61" s="85"/>
      <c r="R61" s="90">
        <f t="shared" ref="R61:R63" si="15">ABS(N61)</f>
        <v>0</v>
      </c>
      <c r="S61" s="90"/>
      <c r="T61" s="90"/>
      <c r="U61" s="90"/>
      <c r="V61" s="78">
        <f t="shared" ref="V61:V63" si="16">IF((ABS(R61)&lt;=0.05),9,IF((ABS(R61)&lt;=0.1),6,1))</f>
        <v>9</v>
      </c>
      <c r="W61" s="78"/>
      <c r="X61" s="78" t="e">
        <f t="shared" ref="X61:X63" si="17">(P61-J61)/J61</f>
        <v>#DIV/0!</v>
      </c>
      <c r="Y61" s="78"/>
      <c r="Z61" s="84"/>
      <c r="AA61" s="85"/>
      <c r="AB61" s="85"/>
      <c r="AC61" s="85"/>
      <c r="AD61" s="85"/>
      <c r="AE61" s="85"/>
      <c r="AF61" s="86"/>
      <c r="AG61" s="22"/>
    </row>
    <row r="62" spans="2:36" ht="16.95" customHeight="1" x14ac:dyDescent="0.3">
      <c r="B62" s="21"/>
      <c r="E62" s="87">
        <v>3</v>
      </c>
      <c r="F62" s="88"/>
      <c r="G62" s="88" t="s">
        <v>27</v>
      </c>
      <c r="H62" s="88"/>
      <c r="I62" s="89"/>
      <c r="J62" s="85"/>
      <c r="K62" s="85"/>
      <c r="L62" s="85"/>
      <c r="M62" s="85"/>
      <c r="N62" s="85"/>
      <c r="O62" s="85"/>
      <c r="P62" s="85"/>
      <c r="Q62" s="85"/>
      <c r="R62" s="90">
        <f t="shared" si="15"/>
        <v>0</v>
      </c>
      <c r="S62" s="90"/>
      <c r="T62" s="90"/>
      <c r="U62" s="90"/>
      <c r="V62" s="78">
        <f t="shared" si="16"/>
        <v>9</v>
      </c>
      <c r="W62" s="78"/>
      <c r="X62" s="78" t="e">
        <f t="shared" si="17"/>
        <v>#DIV/0!</v>
      </c>
      <c r="Y62" s="78"/>
      <c r="Z62" s="84"/>
      <c r="AA62" s="85"/>
      <c r="AB62" s="85"/>
      <c r="AC62" s="85"/>
      <c r="AD62" s="85"/>
      <c r="AE62" s="85"/>
      <c r="AF62" s="86"/>
      <c r="AG62" s="22"/>
    </row>
    <row r="63" spans="2:36" ht="16.95" customHeight="1" thickBot="1" x14ac:dyDescent="0.35">
      <c r="B63" s="21"/>
      <c r="E63" s="79">
        <v>4</v>
      </c>
      <c r="F63" s="80"/>
      <c r="G63" s="80" t="s">
        <v>28</v>
      </c>
      <c r="H63" s="80"/>
      <c r="I63" s="81"/>
      <c r="J63" s="73"/>
      <c r="K63" s="73"/>
      <c r="L63" s="73"/>
      <c r="M63" s="73"/>
      <c r="N63" s="73"/>
      <c r="O63" s="73"/>
      <c r="P63" s="73"/>
      <c r="Q63" s="73"/>
      <c r="R63" s="82">
        <f t="shared" si="15"/>
        <v>0</v>
      </c>
      <c r="S63" s="82"/>
      <c r="T63" s="82"/>
      <c r="U63" s="82"/>
      <c r="V63" s="83">
        <f t="shared" si="16"/>
        <v>9</v>
      </c>
      <c r="W63" s="83"/>
      <c r="X63" s="83" t="e">
        <f t="shared" si="17"/>
        <v>#DIV/0!</v>
      </c>
      <c r="Y63" s="83"/>
      <c r="Z63" s="72"/>
      <c r="AA63" s="73"/>
      <c r="AB63" s="73"/>
      <c r="AC63" s="73"/>
      <c r="AD63" s="73"/>
      <c r="AE63" s="73"/>
      <c r="AF63" s="74"/>
      <c r="AG63" s="22"/>
    </row>
    <row r="64" spans="2:36" ht="16.95" customHeight="1" x14ac:dyDescent="0.3">
      <c r="B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G64" s="22"/>
    </row>
    <row r="65" spans="2:36" ht="16.95" customHeight="1" x14ac:dyDescent="0.3">
      <c r="B65" s="21"/>
      <c r="E65" s="75" t="s">
        <v>102</v>
      </c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7"/>
      <c r="S65" s="78">
        <f>MIN(V60,V61,V62,V63)</f>
        <v>9</v>
      </c>
      <c r="T65" s="78"/>
      <c r="U65" s="78"/>
      <c r="V65" s="78"/>
      <c r="AG65" s="22"/>
    </row>
    <row r="66" spans="2:36" ht="16.95" customHeight="1" x14ac:dyDescent="0.3">
      <c r="B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2"/>
      <c r="T66" s="2"/>
      <c r="U66" s="2"/>
      <c r="V66" s="2"/>
      <c r="AG66" s="22"/>
    </row>
    <row r="67" spans="2:36" ht="16.95" customHeight="1" x14ac:dyDescent="0.3">
      <c r="B67" s="21"/>
      <c r="C67" s="14" t="s">
        <v>24</v>
      </c>
      <c r="D67" s="14"/>
      <c r="E67" s="14" t="s">
        <v>96</v>
      </c>
      <c r="AG67" s="22"/>
      <c r="AJ67"/>
    </row>
    <row r="68" spans="2:36" ht="16.95" customHeight="1" thickBot="1" x14ac:dyDescent="0.35">
      <c r="B68" s="21"/>
      <c r="AG68" s="22"/>
    </row>
    <row r="69" spans="2:36" ht="37.200000000000003" customHeight="1" thickBot="1" x14ac:dyDescent="0.35">
      <c r="B69" s="21"/>
      <c r="E69" s="102" t="s">
        <v>3</v>
      </c>
      <c r="F69" s="103"/>
      <c r="G69" s="104" t="s">
        <v>13</v>
      </c>
      <c r="H69" s="104"/>
      <c r="I69" s="104"/>
      <c r="J69" s="92" t="s">
        <v>4</v>
      </c>
      <c r="K69" s="92"/>
      <c r="L69" s="92"/>
      <c r="M69" s="92"/>
      <c r="N69" s="92" t="s">
        <v>5</v>
      </c>
      <c r="O69" s="92"/>
      <c r="P69" s="92"/>
      <c r="Q69" s="105"/>
      <c r="R69" s="106" t="s">
        <v>11</v>
      </c>
      <c r="S69" s="106"/>
      <c r="T69" s="106"/>
      <c r="U69" s="106"/>
      <c r="V69" s="106" t="s">
        <v>8</v>
      </c>
      <c r="W69" s="106"/>
      <c r="X69" s="106"/>
      <c r="Y69" s="106"/>
      <c r="Z69" s="91" t="s">
        <v>6</v>
      </c>
      <c r="AA69" s="92"/>
      <c r="AB69" s="92"/>
      <c r="AC69" s="92"/>
      <c r="AD69" s="92"/>
      <c r="AE69" s="92"/>
      <c r="AF69" s="93"/>
      <c r="AG69" s="22"/>
    </row>
    <row r="70" spans="2:36" ht="16.95" customHeight="1" x14ac:dyDescent="0.3">
      <c r="B70" s="21"/>
      <c r="E70" s="94">
        <v>1</v>
      </c>
      <c r="F70" s="95"/>
      <c r="G70" s="95" t="s">
        <v>97</v>
      </c>
      <c r="H70" s="95"/>
      <c r="I70" s="96"/>
      <c r="J70" s="97">
        <v>0.154</v>
      </c>
      <c r="K70" s="97"/>
      <c r="L70" s="97"/>
      <c r="M70" s="97"/>
      <c r="N70" s="97">
        <v>0.156</v>
      </c>
      <c r="O70" s="97"/>
      <c r="P70" s="97"/>
      <c r="Q70" s="97"/>
      <c r="R70" s="98">
        <f>IFERROR(((N70-J70)/J70),0)</f>
        <v>1.2987012987012998E-2</v>
      </c>
      <c r="S70" s="98"/>
      <c r="T70" s="98"/>
      <c r="U70" s="98"/>
      <c r="V70" s="99">
        <f>IF((ABS(R70)&lt;=0.05),9,IF((ABS(R70)&lt;=0.1),6,1))</f>
        <v>9</v>
      </c>
      <c r="W70" s="99"/>
      <c r="X70" s="99">
        <f>(P70-J70)/J70</f>
        <v>-1</v>
      </c>
      <c r="Y70" s="99"/>
      <c r="Z70" s="100" t="s">
        <v>261</v>
      </c>
      <c r="AA70" s="97"/>
      <c r="AB70" s="97"/>
      <c r="AC70" s="97"/>
      <c r="AD70" s="97"/>
      <c r="AE70" s="97"/>
      <c r="AF70" s="101"/>
      <c r="AG70" s="22"/>
    </row>
    <row r="71" spans="2:36" ht="16.95" customHeight="1" thickBot="1" x14ac:dyDescent="0.35">
      <c r="B71" s="21"/>
      <c r="E71" s="79">
        <v>2</v>
      </c>
      <c r="F71" s="80"/>
      <c r="G71" s="80" t="s">
        <v>98</v>
      </c>
      <c r="H71" s="80"/>
      <c r="I71" s="81"/>
      <c r="J71" s="73">
        <v>0.86599999999999999</v>
      </c>
      <c r="K71" s="73"/>
      <c r="L71" s="73"/>
      <c r="M71" s="73"/>
      <c r="N71" s="73">
        <v>0.86799999999999999</v>
      </c>
      <c r="O71" s="73"/>
      <c r="P71" s="73"/>
      <c r="Q71" s="73"/>
      <c r="R71" s="82">
        <f t="shared" ref="R71" si="18">IFERROR(((N71-J71)/J71),0)</f>
        <v>2.3094688221709028E-3</v>
      </c>
      <c r="S71" s="82"/>
      <c r="T71" s="82"/>
      <c r="U71" s="82"/>
      <c r="V71" s="83">
        <f>IF((ABS(R71)&lt;=0.05),9,IF((ABS(R71)&lt;=0.1),6,1))</f>
        <v>9</v>
      </c>
      <c r="W71" s="83"/>
      <c r="X71" s="83">
        <f t="shared" ref="X71" si="19">(P71-J71)/J71</f>
        <v>-1</v>
      </c>
      <c r="Y71" s="83"/>
      <c r="Z71" s="72" t="s">
        <v>262</v>
      </c>
      <c r="AA71" s="73"/>
      <c r="AB71" s="73"/>
      <c r="AC71" s="73"/>
      <c r="AD71" s="73"/>
      <c r="AE71" s="73"/>
      <c r="AF71" s="74"/>
      <c r="AG71" s="22"/>
    </row>
    <row r="72" spans="2:36" ht="16.95" customHeight="1" x14ac:dyDescent="0.3">
      <c r="B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G72" s="22"/>
    </row>
    <row r="73" spans="2:36" ht="16.95" customHeight="1" x14ac:dyDescent="0.3">
      <c r="B73" s="21"/>
      <c r="E73" s="75" t="s">
        <v>99</v>
      </c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7"/>
      <c r="S73" s="78">
        <f>MIN(V70,V71)</f>
        <v>9</v>
      </c>
      <c r="T73" s="78"/>
      <c r="U73" s="78"/>
      <c r="V73" s="78"/>
      <c r="AG73" s="22"/>
    </row>
    <row r="74" spans="2:36" ht="16.95" customHeight="1" x14ac:dyDescent="0.3">
      <c r="B74" s="21"/>
      <c r="AG74" s="22"/>
    </row>
    <row r="75" spans="2:36" ht="16.95" customHeight="1" x14ac:dyDescent="0.3">
      <c r="B75" s="21"/>
      <c r="C75" s="14" t="s">
        <v>88</v>
      </c>
      <c r="D75" s="14"/>
      <c r="E75" s="14" t="s">
        <v>103</v>
      </c>
      <c r="AG75" s="22"/>
      <c r="AJ75"/>
    </row>
    <row r="76" spans="2:36" ht="16.95" customHeight="1" thickBot="1" x14ac:dyDescent="0.35">
      <c r="B76" s="21"/>
      <c r="AG76" s="22"/>
    </row>
    <row r="77" spans="2:36" ht="37.200000000000003" customHeight="1" thickBot="1" x14ac:dyDescent="0.35">
      <c r="B77" s="21"/>
      <c r="E77" s="102" t="s">
        <v>3</v>
      </c>
      <c r="F77" s="103"/>
      <c r="G77" s="104" t="s">
        <v>13</v>
      </c>
      <c r="H77" s="104"/>
      <c r="I77" s="104"/>
      <c r="J77" s="92" t="s">
        <v>85</v>
      </c>
      <c r="K77" s="92"/>
      <c r="L77" s="92"/>
      <c r="M77" s="92"/>
      <c r="N77" s="92" t="s">
        <v>86</v>
      </c>
      <c r="O77" s="92"/>
      <c r="P77" s="92"/>
      <c r="Q77" s="105"/>
      <c r="R77" s="106" t="s">
        <v>11</v>
      </c>
      <c r="S77" s="106"/>
      <c r="T77" s="106"/>
      <c r="U77" s="106"/>
      <c r="V77" s="106" t="s">
        <v>8</v>
      </c>
      <c r="W77" s="106"/>
      <c r="X77" s="106"/>
      <c r="Y77" s="106"/>
      <c r="Z77" s="91" t="s">
        <v>6</v>
      </c>
      <c r="AA77" s="92"/>
      <c r="AB77" s="92"/>
      <c r="AC77" s="92"/>
      <c r="AD77" s="92"/>
      <c r="AE77" s="92"/>
      <c r="AF77" s="93"/>
      <c r="AG77" s="22"/>
    </row>
    <row r="78" spans="2:36" ht="16.95" customHeight="1" x14ac:dyDescent="0.3">
      <c r="B78" s="21"/>
      <c r="E78" s="94">
        <v>1</v>
      </c>
      <c r="F78" s="95"/>
      <c r="G78" s="95" t="s">
        <v>97</v>
      </c>
      <c r="H78" s="95"/>
      <c r="I78" s="96"/>
      <c r="J78" s="97">
        <v>0</v>
      </c>
      <c r="K78" s="97"/>
      <c r="L78" s="97"/>
      <c r="M78" s="97"/>
      <c r="N78" s="97">
        <v>3.3000000000000002E-2</v>
      </c>
      <c r="O78" s="97"/>
      <c r="P78" s="97"/>
      <c r="Q78" s="97"/>
      <c r="R78" s="98">
        <f>ABS(N78)</f>
        <v>3.3000000000000002E-2</v>
      </c>
      <c r="S78" s="98"/>
      <c r="T78" s="98"/>
      <c r="U78" s="98"/>
      <c r="V78" s="99">
        <f>IF((ABS(R78)&lt;=0.05),9,IF((ABS(R78)&lt;=0.1),6,1))</f>
        <v>9</v>
      </c>
      <c r="W78" s="99"/>
      <c r="X78" s="99" t="e">
        <f>(P78-J78)/J78</f>
        <v>#DIV/0!</v>
      </c>
      <c r="Y78" s="99"/>
      <c r="Z78" s="100" t="s">
        <v>261</v>
      </c>
      <c r="AA78" s="97"/>
      <c r="AB78" s="97"/>
      <c r="AC78" s="97"/>
      <c r="AD78" s="97"/>
      <c r="AE78" s="97"/>
      <c r="AF78" s="101"/>
      <c r="AG78" s="22"/>
    </row>
    <row r="79" spans="2:36" ht="16.95" customHeight="1" thickBot="1" x14ac:dyDescent="0.35">
      <c r="B79" s="21"/>
      <c r="E79" s="79">
        <v>2</v>
      </c>
      <c r="F79" s="80"/>
      <c r="G79" s="80" t="s">
        <v>98</v>
      </c>
      <c r="H79" s="80"/>
      <c r="I79" s="81"/>
      <c r="J79" s="73">
        <v>0</v>
      </c>
      <c r="K79" s="73"/>
      <c r="L79" s="73"/>
      <c r="M79" s="73"/>
      <c r="N79" s="73">
        <v>3.1E-2</v>
      </c>
      <c r="O79" s="73"/>
      <c r="P79" s="73"/>
      <c r="Q79" s="73"/>
      <c r="R79" s="82">
        <f t="shared" ref="R79" si="20">ABS(N79)</f>
        <v>3.1E-2</v>
      </c>
      <c r="S79" s="82"/>
      <c r="T79" s="82"/>
      <c r="U79" s="82"/>
      <c r="V79" s="83">
        <f t="shared" ref="V79" si="21">IF((ABS(R79)&lt;=0.05),9,IF((ABS(R79)&lt;=0.1),6,1))</f>
        <v>9</v>
      </c>
      <c r="W79" s="83"/>
      <c r="X79" s="83" t="e">
        <f t="shared" ref="X79" si="22">(P79-J79)/J79</f>
        <v>#DIV/0!</v>
      </c>
      <c r="Y79" s="83"/>
      <c r="Z79" s="72" t="s">
        <v>262</v>
      </c>
      <c r="AA79" s="73"/>
      <c r="AB79" s="73"/>
      <c r="AC79" s="73"/>
      <c r="AD79" s="73"/>
      <c r="AE79" s="73"/>
      <c r="AF79" s="74"/>
      <c r="AG79" s="22"/>
    </row>
    <row r="80" spans="2:36" ht="16.95" customHeight="1" x14ac:dyDescent="0.3">
      <c r="B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G80" s="22"/>
    </row>
    <row r="81" spans="2:36" ht="16.95" customHeight="1" x14ac:dyDescent="0.3">
      <c r="B81" s="21"/>
      <c r="E81" s="75" t="s">
        <v>104</v>
      </c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7"/>
      <c r="S81" s="78">
        <f>MIN(V78,V79)</f>
        <v>9</v>
      </c>
      <c r="T81" s="78"/>
      <c r="U81" s="78"/>
      <c r="V81" s="78"/>
      <c r="AG81" s="22"/>
    </row>
    <row r="82" spans="2:36" ht="16.95" customHeight="1" x14ac:dyDescent="0.3">
      <c r="B82" s="21"/>
      <c r="AG82" s="22"/>
    </row>
    <row r="83" spans="2:36" ht="16.95" customHeight="1" x14ac:dyDescent="0.3">
      <c r="B83" s="21"/>
      <c r="C83" s="14" t="s">
        <v>94</v>
      </c>
      <c r="D83" s="14"/>
      <c r="E83" s="14" t="s">
        <v>84</v>
      </c>
      <c r="AG83" s="22"/>
      <c r="AJ83"/>
    </row>
    <row r="84" spans="2:36" ht="16.95" customHeight="1" thickBot="1" x14ac:dyDescent="0.35">
      <c r="B84" s="21"/>
      <c r="AG84" s="22"/>
    </row>
    <row r="85" spans="2:36" ht="37.200000000000003" customHeight="1" thickBot="1" x14ac:dyDescent="0.35">
      <c r="B85" s="21"/>
      <c r="E85" s="102" t="s">
        <v>3</v>
      </c>
      <c r="F85" s="103"/>
      <c r="G85" s="104" t="s">
        <v>13</v>
      </c>
      <c r="H85" s="104"/>
      <c r="I85" s="104"/>
      <c r="J85" s="92" t="s">
        <v>208</v>
      </c>
      <c r="K85" s="92"/>
      <c r="L85" s="92"/>
      <c r="M85" s="92"/>
      <c r="N85" s="92" t="s">
        <v>209</v>
      </c>
      <c r="O85" s="92"/>
      <c r="P85" s="92"/>
      <c r="Q85" s="105"/>
      <c r="R85" s="106" t="s">
        <v>11</v>
      </c>
      <c r="S85" s="106"/>
      <c r="T85" s="106"/>
      <c r="U85" s="106"/>
      <c r="V85" s="106" t="s">
        <v>8</v>
      </c>
      <c r="W85" s="106"/>
      <c r="X85" s="106"/>
      <c r="Y85" s="106"/>
      <c r="Z85" s="91" t="s">
        <v>6</v>
      </c>
      <c r="AA85" s="92"/>
      <c r="AB85" s="92"/>
      <c r="AC85" s="92"/>
      <c r="AD85" s="92"/>
      <c r="AE85" s="92"/>
      <c r="AF85" s="93"/>
      <c r="AG85" s="22"/>
    </row>
    <row r="86" spans="2:36" ht="16.95" customHeight="1" x14ac:dyDescent="0.3">
      <c r="B86" s="21"/>
      <c r="E86" s="94">
        <v>1</v>
      </c>
      <c r="F86" s="95"/>
      <c r="G86" s="95" t="s">
        <v>25</v>
      </c>
      <c r="H86" s="95"/>
      <c r="I86" s="96"/>
      <c r="J86" s="97"/>
      <c r="K86" s="97"/>
      <c r="L86" s="97"/>
      <c r="M86" s="97"/>
      <c r="N86" s="97"/>
      <c r="O86" s="97"/>
      <c r="P86" s="97"/>
      <c r="Q86" s="97"/>
      <c r="R86" s="98">
        <f>IFERROR(((N86-J86)/J86),0)</f>
        <v>0</v>
      </c>
      <c r="S86" s="98"/>
      <c r="T86" s="98"/>
      <c r="U86" s="98"/>
      <c r="V86" s="99">
        <f>IF((ABS(R86)&lt;=0.05),9,IF((ABS(R86)&lt;=0.1),6,1))</f>
        <v>9</v>
      </c>
      <c r="W86" s="99"/>
      <c r="X86" s="99" t="e">
        <f>(P86-J86)/J86</f>
        <v>#DIV/0!</v>
      </c>
      <c r="Y86" s="99"/>
      <c r="Z86" s="100"/>
      <c r="AA86" s="97"/>
      <c r="AB86" s="97"/>
      <c r="AC86" s="97"/>
      <c r="AD86" s="97"/>
      <c r="AE86" s="97"/>
      <c r="AF86" s="101"/>
      <c r="AG86" s="22"/>
    </row>
    <row r="87" spans="2:36" ht="16.95" customHeight="1" x14ac:dyDescent="0.3">
      <c r="B87" s="21"/>
      <c r="E87" s="87">
        <v>2</v>
      </c>
      <c r="F87" s="88"/>
      <c r="G87" s="88" t="s">
        <v>26</v>
      </c>
      <c r="H87" s="88"/>
      <c r="I87" s="89"/>
      <c r="J87" s="85"/>
      <c r="K87" s="85"/>
      <c r="L87" s="85"/>
      <c r="M87" s="85"/>
      <c r="N87" s="85"/>
      <c r="O87" s="85"/>
      <c r="P87" s="85"/>
      <c r="Q87" s="85"/>
      <c r="R87" s="90">
        <f t="shared" ref="R87:R89" si="23">IFERROR(((N87-J87)/J87),0)</f>
        <v>0</v>
      </c>
      <c r="S87" s="90"/>
      <c r="T87" s="90"/>
      <c r="U87" s="90"/>
      <c r="V87" s="78">
        <f t="shared" ref="V87:V89" si="24">IF((ABS(R87)&lt;=0.05),9,IF((ABS(R87)&lt;=0.1),6,1))</f>
        <v>9</v>
      </c>
      <c r="W87" s="78"/>
      <c r="X87" s="78" t="e">
        <f t="shared" ref="X87:X89" si="25">(P87-J87)/J87</f>
        <v>#DIV/0!</v>
      </c>
      <c r="Y87" s="78"/>
      <c r="Z87" s="84"/>
      <c r="AA87" s="85"/>
      <c r="AB87" s="85"/>
      <c r="AC87" s="85"/>
      <c r="AD87" s="85"/>
      <c r="AE87" s="85"/>
      <c r="AF87" s="86"/>
      <c r="AG87" s="22"/>
    </row>
    <row r="88" spans="2:36" ht="16.95" customHeight="1" x14ac:dyDescent="0.3">
      <c r="B88" s="21"/>
      <c r="E88" s="87">
        <v>3</v>
      </c>
      <c r="F88" s="88"/>
      <c r="G88" s="88" t="s">
        <v>27</v>
      </c>
      <c r="H88" s="88"/>
      <c r="I88" s="89"/>
      <c r="J88" s="85"/>
      <c r="K88" s="85"/>
      <c r="L88" s="85"/>
      <c r="M88" s="85"/>
      <c r="N88" s="85"/>
      <c r="O88" s="85"/>
      <c r="P88" s="85"/>
      <c r="Q88" s="85"/>
      <c r="R88" s="90">
        <f t="shared" si="23"/>
        <v>0</v>
      </c>
      <c r="S88" s="90"/>
      <c r="T88" s="90"/>
      <c r="U88" s="90"/>
      <c r="V88" s="78">
        <f t="shared" si="24"/>
        <v>9</v>
      </c>
      <c r="W88" s="78"/>
      <c r="X88" s="78" t="e">
        <f t="shared" si="25"/>
        <v>#DIV/0!</v>
      </c>
      <c r="Y88" s="78"/>
      <c r="Z88" s="84"/>
      <c r="AA88" s="85"/>
      <c r="AB88" s="85"/>
      <c r="AC88" s="85"/>
      <c r="AD88" s="85"/>
      <c r="AE88" s="85"/>
      <c r="AF88" s="86"/>
      <c r="AG88" s="22"/>
    </row>
    <row r="89" spans="2:36" ht="16.95" customHeight="1" thickBot="1" x14ac:dyDescent="0.35">
      <c r="B89" s="21"/>
      <c r="E89" s="79">
        <v>4</v>
      </c>
      <c r="F89" s="80"/>
      <c r="G89" s="80" t="s">
        <v>28</v>
      </c>
      <c r="H89" s="80"/>
      <c r="I89" s="81"/>
      <c r="J89" s="73">
        <v>0.8</v>
      </c>
      <c r="K89" s="73"/>
      <c r="L89" s="73"/>
      <c r="M89" s="73"/>
      <c r="N89" s="73">
        <v>0.82</v>
      </c>
      <c r="O89" s="73"/>
      <c r="P89" s="73"/>
      <c r="Q89" s="73"/>
      <c r="R89" s="82">
        <f t="shared" si="23"/>
        <v>2.4999999999999883E-2</v>
      </c>
      <c r="S89" s="82"/>
      <c r="T89" s="82"/>
      <c r="U89" s="82"/>
      <c r="V89" s="83">
        <f t="shared" si="24"/>
        <v>9</v>
      </c>
      <c r="W89" s="83"/>
      <c r="X89" s="83">
        <f t="shared" si="25"/>
        <v>-1</v>
      </c>
      <c r="Y89" s="83"/>
      <c r="Z89" s="72" t="s">
        <v>260</v>
      </c>
      <c r="AA89" s="73"/>
      <c r="AB89" s="73"/>
      <c r="AC89" s="73"/>
      <c r="AD89" s="73"/>
      <c r="AE89" s="73"/>
      <c r="AF89" s="74"/>
      <c r="AG89" s="22"/>
    </row>
    <row r="90" spans="2:36" ht="16.95" customHeight="1" x14ac:dyDescent="0.3">
      <c r="B90" s="21"/>
      <c r="E90" s="33" t="s">
        <v>191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G90" s="22"/>
    </row>
    <row r="91" spans="2:36" ht="16.95" customHeight="1" x14ac:dyDescent="0.3">
      <c r="B91" s="21"/>
      <c r="E91" s="75" t="s">
        <v>87</v>
      </c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7"/>
      <c r="S91" s="78">
        <f>MIN(V86,V87,V88,V89)</f>
        <v>9</v>
      </c>
      <c r="T91" s="78"/>
      <c r="U91" s="78"/>
      <c r="V91" s="78"/>
      <c r="AG91" s="22"/>
    </row>
    <row r="92" spans="2:36" ht="16.95" customHeight="1" x14ac:dyDescent="0.3">
      <c r="B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2"/>
      <c r="T92" s="2"/>
      <c r="U92" s="2"/>
      <c r="V92" s="2"/>
      <c r="AG92" s="22"/>
    </row>
    <row r="93" spans="2:36" ht="16.95" customHeight="1" x14ac:dyDescent="0.3">
      <c r="B93" s="21"/>
      <c r="C93" s="14" t="s">
        <v>105</v>
      </c>
      <c r="D93" s="14"/>
      <c r="E93" s="14" t="s">
        <v>89</v>
      </c>
      <c r="AG93" s="22"/>
    </row>
    <row r="94" spans="2:36" ht="16.95" customHeight="1" thickBot="1" x14ac:dyDescent="0.35">
      <c r="B94" s="21"/>
      <c r="AG94" s="22"/>
    </row>
    <row r="95" spans="2:36" ht="37.200000000000003" customHeight="1" thickBot="1" x14ac:dyDescent="0.35">
      <c r="B95" s="21"/>
      <c r="E95" s="102" t="s">
        <v>3</v>
      </c>
      <c r="F95" s="103"/>
      <c r="G95" s="104" t="s">
        <v>13</v>
      </c>
      <c r="H95" s="104"/>
      <c r="I95" s="104"/>
      <c r="J95" s="92" t="s">
        <v>92</v>
      </c>
      <c r="K95" s="92"/>
      <c r="L95" s="92"/>
      <c r="M95" s="92"/>
      <c r="N95" s="92" t="s">
        <v>93</v>
      </c>
      <c r="O95" s="92"/>
      <c r="P95" s="92"/>
      <c r="Q95" s="105"/>
      <c r="R95" s="106" t="s">
        <v>11</v>
      </c>
      <c r="S95" s="106"/>
      <c r="T95" s="106"/>
      <c r="U95" s="106"/>
      <c r="V95" s="106" t="s">
        <v>8</v>
      </c>
      <c r="W95" s="106"/>
      <c r="X95" s="106"/>
      <c r="Y95" s="106"/>
      <c r="Z95" s="91" t="s">
        <v>6</v>
      </c>
      <c r="AA95" s="92"/>
      <c r="AB95" s="92"/>
      <c r="AC95" s="92"/>
      <c r="AD95" s="92"/>
      <c r="AE95" s="92"/>
      <c r="AF95" s="93"/>
      <c r="AG95" s="22"/>
    </row>
    <row r="96" spans="2:36" ht="16.95" customHeight="1" x14ac:dyDescent="0.3">
      <c r="B96" s="21"/>
      <c r="E96" s="94">
        <v>1</v>
      </c>
      <c r="F96" s="95"/>
      <c r="G96" s="95" t="s">
        <v>90</v>
      </c>
      <c r="H96" s="95"/>
      <c r="I96" s="96"/>
      <c r="J96" s="97"/>
      <c r="K96" s="97"/>
      <c r="L96" s="97"/>
      <c r="M96" s="97"/>
      <c r="N96" s="97"/>
      <c r="O96" s="97"/>
      <c r="P96" s="97"/>
      <c r="Q96" s="97"/>
      <c r="R96" s="98">
        <f>IFERROR(((N96-J96)/J96),0)</f>
        <v>0</v>
      </c>
      <c r="S96" s="98"/>
      <c r="T96" s="98"/>
      <c r="U96" s="98"/>
      <c r="V96" s="99">
        <f>IF((ABS(R96)&lt;=0.05),9,IF((ABS(R96)&lt;=0.1),6,1))</f>
        <v>9</v>
      </c>
      <c r="W96" s="99"/>
      <c r="X96" s="99" t="e">
        <f>(P96-J96)/J96</f>
        <v>#DIV/0!</v>
      </c>
      <c r="Y96" s="99"/>
      <c r="Z96" s="100"/>
      <c r="AA96" s="97"/>
      <c r="AB96" s="97"/>
      <c r="AC96" s="97"/>
      <c r="AD96" s="97"/>
      <c r="AE96" s="97"/>
      <c r="AF96" s="101"/>
      <c r="AG96" s="22"/>
    </row>
    <row r="97" spans="2:33" ht="16.95" customHeight="1" thickBot="1" x14ac:dyDescent="0.35">
      <c r="B97" s="21"/>
      <c r="E97" s="79">
        <v>2</v>
      </c>
      <c r="F97" s="80"/>
      <c r="G97" s="80" t="s">
        <v>91</v>
      </c>
      <c r="H97" s="80"/>
      <c r="I97" s="81"/>
      <c r="J97" s="73"/>
      <c r="K97" s="73"/>
      <c r="L97" s="73"/>
      <c r="M97" s="73"/>
      <c r="N97" s="73"/>
      <c r="O97" s="73"/>
      <c r="P97" s="73"/>
      <c r="Q97" s="73"/>
      <c r="R97" s="82">
        <f t="shared" ref="R97" si="26">IFERROR(((N97-J97)/J97),0)</f>
        <v>0</v>
      </c>
      <c r="S97" s="82"/>
      <c r="T97" s="82"/>
      <c r="U97" s="82"/>
      <c r="V97" s="83">
        <f t="shared" ref="V97" si="27">IF((ABS(R97)&lt;=0.05),9,IF((ABS(R97)&lt;=0.1),6,1))</f>
        <v>9</v>
      </c>
      <c r="W97" s="83"/>
      <c r="X97" s="83" t="e">
        <f t="shared" ref="X97" si="28">(P97-J97)/J97</f>
        <v>#DIV/0!</v>
      </c>
      <c r="Y97" s="83"/>
      <c r="Z97" s="72"/>
      <c r="AA97" s="73"/>
      <c r="AB97" s="73"/>
      <c r="AC97" s="73"/>
      <c r="AD97" s="73"/>
      <c r="AE97" s="73"/>
      <c r="AF97" s="74"/>
      <c r="AG97" s="22"/>
    </row>
    <row r="98" spans="2:33" ht="16.95" customHeight="1" x14ac:dyDescent="0.3">
      <c r="B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G98" s="22"/>
    </row>
    <row r="99" spans="2:33" ht="16.95" customHeight="1" x14ac:dyDescent="0.3">
      <c r="B99" s="21"/>
      <c r="E99" s="75" t="s">
        <v>95</v>
      </c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7"/>
      <c r="S99" s="78">
        <f>MIN(V96,V97)</f>
        <v>9</v>
      </c>
      <c r="T99" s="78"/>
      <c r="U99" s="78"/>
      <c r="V99" s="78"/>
      <c r="AG99" s="22"/>
    </row>
    <row r="100" spans="2:33" ht="16.95" customHeight="1" x14ac:dyDescent="0.3">
      <c r="B100" s="21"/>
      <c r="AG100" s="22"/>
    </row>
    <row r="101" spans="2:33" ht="16.95" customHeight="1" x14ac:dyDescent="0.3">
      <c r="B101" s="21"/>
      <c r="C101" s="14" t="s">
        <v>109</v>
      </c>
      <c r="E101" s="16" t="s">
        <v>106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2"/>
      <c r="Q101" s="2"/>
      <c r="R101" s="2"/>
      <c r="S101" s="2"/>
      <c r="AG101" s="22"/>
    </row>
    <row r="102" spans="2:33" ht="16.95" customHeight="1" thickBot="1" x14ac:dyDescent="0.35">
      <c r="B102" s="2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"/>
      <c r="Q102" s="2"/>
      <c r="R102" s="2"/>
      <c r="S102" s="2"/>
      <c r="AG102" s="22"/>
    </row>
    <row r="103" spans="2:33" ht="37.200000000000003" customHeight="1" thickBot="1" x14ac:dyDescent="0.35">
      <c r="B103" s="21"/>
      <c r="E103" s="132" t="s">
        <v>107</v>
      </c>
      <c r="F103" s="133"/>
      <c r="G103" s="133"/>
      <c r="H103" s="133"/>
      <c r="I103" s="134"/>
      <c r="J103" s="92" t="s">
        <v>37</v>
      </c>
      <c r="K103" s="92"/>
      <c r="L103" s="92"/>
      <c r="M103" s="105"/>
      <c r="N103" s="135" t="s">
        <v>8</v>
      </c>
      <c r="O103" s="135"/>
      <c r="P103" s="135"/>
      <c r="Q103" s="135"/>
      <c r="R103" s="135"/>
      <c r="S103" s="136" t="s">
        <v>6</v>
      </c>
      <c r="T103" s="137"/>
      <c r="U103" s="137"/>
      <c r="V103" s="137"/>
      <c r="W103" s="137"/>
      <c r="X103" s="138"/>
      <c r="Z103" s="14"/>
      <c r="AA103" s="14"/>
      <c r="AB103" s="14"/>
      <c r="AG103" s="22"/>
    </row>
    <row r="104" spans="2:33" ht="16.95" customHeight="1" x14ac:dyDescent="0.3">
      <c r="B104" s="21"/>
      <c r="E104" s="139" t="s">
        <v>29</v>
      </c>
      <c r="F104" s="140"/>
      <c r="G104" s="140"/>
      <c r="H104" s="140"/>
      <c r="I104" s="141"/>
      <c r="J104" s="97"/>
      <c r="K104" s="97"/>
      <c r="L104" s="97"/>
      <c r="M104" s="97"/>
      <c r="N104" s="99">
        <f>IF(J104="No Trip",1,9)</f>
        <v>9</v>
      </c>
      <c r="O104" s="99"/>
      <c r="P104" s="99"/>
      <c r="Q104" s="99"/>
      <c r="R104" s="99"/>
      <c r="S104" s="142"/>
      <c r="T104" s="143"/>
      <c r="U104" s="143"/>
      <c r="V104" s="143"/>
      <c r="W104" s="143"/>
      <c r="X104" s="144"/>
      <c r="AG104" s="22"/>
    </row>
    <row r="105" spans="2:33" ht="16.95" customHeight="1" thickBot="1" x14ac:dyDescent="0.35">
      <c r="B105" s="21"/>
      <c r="E105" s="107" t="s">
        <v>30</v>
      </c>
      <c r="F105" s="108"/>
      <c r="G105" s="108"/>
      <c r="H105" s="108"/>
      <c r="I105" s="109"/>
      <c r="J105" s="73"/>
      <c r="K105" s="73"/>
      <c r="L105" s="73"/>
      <c r="M105" s="73"/>
      <c r="N105" s="83">
        <f>IF(J105="Trip",1,9)</f>
        <v>9</v>
      </c>
      <c r="O105" s="83"/>
      <c r="P105" s="83"/>
      <c r="Q105" s="83"/>
      <c r="R105" s="83"/>
      <c r="S105" s="110"/>
      <c r="T105" s="111"/>
      <c r="U105" s="111"/>
      <c r="V105" s="111"/>
      <c r="W105" s="111"/>
      <c r="X105" s="112"/>
      <c r="AG105" s="22"/>
    </row>
    <row r="106" spans="2:33" ht="16.95" customHeight="1" x14ac:dyDescent="0.3">
      <c r="B106" s="21"/>
      <c r="E106" s="3"/>
      <c r="F106" s="3"/>
      <c r="G106" s="3"/>
      <c r="H106" s="3"/>
      <c r="I106" s="3"/>
      <c r="J106" s="3"/>
      <c r="K106" s="3"/>
      <c r="L106" s="3"/>
      <c r="M106" s="3"/>
      <c r="N106" s="17"/>
      <c r="O106" s="17"/>
      <c r="P106" s="17"/>
      <c r="Q106" s="17"/>
      <c r="R106" s="17"/>
      <c r="S106" s="2"/>
      <c r="T106" s="2"/>
      <c r="U106" s="2"/>
      <c r="V106" s="2"/>
      <c r="W106" s="2"/>
      <c r="X106" s="2"/>
      <c r="AG106" s="22"/>
    </row>
    <row r="107" spans="2:33" ht="16.95" customHeight="1" x14ac:dyDescent="0.3">
      <c r="B107" s="21"/>
      <c r="E107" s="75" t="s">
        <v>192</v>
      </c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7"/>
      <c r="S107" s="78">
        <f>MIN(N104,N105)</f>
        <v>9</v>
      </c>
      <c r="T107" s="78"/>
      <c r="U107" s="78"/>
      <c r="V107" s="78"/>
      <c r="W107" s="2"/>
      <c r="X107" s="2"/>
      <c r="AG107" s="22"/>
    </row>
    <row r="108" spans="2:33" ht="16.95" customHeight="1" x14ac:dyDescent="0.3">
      <c r="B108" s="21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2"/>
      <c r="Q108" s="2"/>
      <c r="R108" s="2"/>
      <c r="S108" s="2"/>
      <c r="AG108" s="22"/>
    </row>
    <row r="109" spans="2:33" ht="16.95" customHeight="1" x14ac:dyDescent="0.3">
      <c r="B109" s="21"/>
      <c r="C109" s="14" t="s">
        <v>110</v>
      </c>
      <c r="D109" s="14"/>
      <c r="E109" s="14" t="s">
        <v>15</v>
      </c>
      <c r="AG109" s="22"/>
    </row>
    <row r="110" spans="2:33" ht="16.95" customHeight="1" x14ac:dyDescent="0.3">
      <c r="B110" s="21"/>
      <c r="E110" s="118" t="s">
        <v>256</v>
      </c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20"/>
      <c r="AG110" s="22"/>
    </row>
    <row r="111" spans="2:33" ht="16.95" customHeight="1" x14ac:dyDescent="0.3">
      <c r="B111" s="21"/>
      <c r="E111" s="121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3"/>
      <c r="AG111" s="22"/>
    </row>
    <row r="112" spans="2:33" ht="16.95" customHeight="1" x14ac:dyDescent="0.3">
      <c r="B112" s="21"/>
      <c r="E112" s="121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3"/>
      <c r="AG112" s="22"/>
    </row>
    <row r="113" spans="2:33" ht="16.95" customHeight="1" x14ac:dyDescent="0.3">
      <c r="B113" s="21"/>
      <c r="E113" s="124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61"/>
      <c r="AG113" s="22"/>
    </row>
    <row r="114" spans="2:33" ht="16.95" customHeight="1" x14ac:dyDescent="0.3">
      <c r="B114" s="21"/>
      <c r="AG114" s="22"/>
    </row>
    <row r="115" spans="2:33" ht="16.95" customHeight="1" x14ac:dyDescent="0.3">
      <c r="B115" s="21"/>
      <c r="C115" s="14" t="s">
        <v>111</v>
      </c>
      <c r="D115" s="14"/>
      <c r="E115" s="14" t="s">
        <v>17</v>
      </c>
      <c r="F115" s="14"/>
      <c r="G115" s="14"/>
      <c r="H115" s="14"/>
      <c r="I115" s="14"/>
      <c r="AG115" s="22"/>
    </row>
    <row r="116" spans="2:33" ht="16.95" customHeight="1" x14ac:dyDescent="0.3">
      <c r="B116" s="21"/>
      <c r="E116" s="75" t="s">
        <v>210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  <c r="S116" s="113">
        <f>MIN(S15,S25,S35,S45,S55,S65,S73,S81,S91,S99,S107)</f>
        <v>6</v>
      </c>
      <c r="T116" s="78"/>
      <c r="U116" s="78"/>
      <c r="V116" s="78"/>
      <c r="AG116" s="22"/>
    </row>
    <row r="117" spans="2:33" ht="16.95" customHeight="1" x14ac:dyDescent="0.3">
      <c r="B117" s="21"/>
      <c r="AG117" s="22"/>
    </row>
    <row r="118" spans="2:33" ht="24.6" customHeight="1" x14ac:dyDescent="0.3">
      <c r="B118" s="21"/>
      <c r="E118" s="54" t="s">
        <v>201</v>
      </c>
      <c r="F118" s="126" t="s">
        <v>205</v>
      </c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7"/>
    </row>
    <row r="119" spans="2:33" ht="16.95" customHeight="1" x14ac:dyDescent="0.3">
      <c r="B119" s="21"/>
      <c r="C119" s="114" t="s">
        <v>18</v>
      </c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6"/>
      <c r="S119" s="117" t="s">
        <v>19</v>
      </c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22"/>
    </row>
    <row r="120" spans="2:33" ht="16.95" customHeight="1" x14ac:dyDescent="0.3">
      <c r="B120" s="21"/>
      <c r="C120" s="39">
        <v>1</v>
      </c>
      <c r="D120" s="67" t="s">
        <v>265</v>
      </c>
      <c r="E120" s="68"/>
      <c r="F120" s="68"/>
      <c r="G120" s="68"/>
      <c r="H120" s="68"/>
      <c r="I120" s="68"/>
      <c r="J120" s="68"/>
      <c r="K120" s="68"/>
      <c r="L120" s="68"/>
      <c r="M120" s="68"/>
      <c r="N120" s="59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22"/>
    </row>
    <row r="121" spans="2:33" ht="16.95" customHeight="1" x14ac:dyDescent="0.3">
      <c r="B121" s="21"/>
      <c r="C121" s="39">
        <v>2</v>
      </c>
      <c r="D121" s="67" t="s">
        <v>234</v>
      </c>
      <c r="E121" s="68"/>
      <c r="F121" s="68"/>
      <c r="G121" s="68"/>
      <c r="H121" s="68"/>
      <c r="I121" s="68"/>
      <c r="J121" s="68"/>
      <c r="K121" s="68"/>
      <c r="L121" s="68"/>
      <c r="M121" s="68"/>
      <c r="N121" s="59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22"/>
    </row>
    <row r="122" spans="2:33" ht="16.95" customHeight="1" x14ac:dyDescent="0.3">
      <c r="B122" s="21"/>
      <c r="C122" s="39">
        <v>3</v>
      </c>
      <c r="D122" s="67" t="s">
        <v>245</v>
      </c>
      <c r="E122" s="68"/>
      <c r="F122" s="68"/>
      <c r="G122" s="68"/>
      <c r="H122" s="68"/>
      <c r="I122" s="68"/>
      <c r="J122" s="68"/>
      <c r="K122" s="68"/>
      <c r="L122" s="68"/>
      <c r="M122" s="68"/>
      <c r="N122" s="59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22"/>
    </row>
    <row r="123" spans="2:33" ht="16.95" customHeight="1" x14ac:dyDescent="0.3">
      <c r="B123" s="21"/>
      <c r="C123" s="39">
        <v>4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59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22"/>
    </row>
    <row r="124" spans="2:33" ht="16.95" customHeight="1" x14ac:dyDescent="0.3">
      <c r="B124" s="21"/>
      <c r="C124" s="39">
        <v>5</v>
      </c>
      <c r="D124" s="67"/>
      <c r="E124" s="68"/>
      <c r="F124" s="68"/>
      <c r="G124" s="68"/>
      <c r="H124" s="68"/>
      <c r="I124" s="68"/>
      <c r="J124" s="68"/>
      <c r="K124" s="68"/>
      <c r="L124" s="68"/>
      <c r="M124" s="68"/>
      <c r="N124" s="59"/>
      <c r="O124" s="57"/>
      <c r="P124" s="57"/>
      <c r="Q124" s="57"/>
      <c r="R124" s="57"/>
      <c r="S124" s="57" t="s">
        <v>266</v>
      </c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22"/>
    </row>
    <row r="125" spans="2:33" ht="16.95" customHeight="1" thickBot="1" x14ac:dyDescent="0.35">
      <c r="B125" s="24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6"/>
    </row>
  </sheetData>
  <sheetProtection algorithmName="SHA-512" hashValue="PoMNWA2wkmt4pi/9ZhGk5NyXxnNGp4539ghdZNlqk5W89cy1hOShaVI64bhuleX16HAEA+D0qlN2xvtDVHFQ/g==" saltValue="Cpl+EIJR0JS0HMAhiDx8vQ==" spinCount="100000" sheet="1" scenarios="1"/>
  <mergeCells count="364">
    <mergeCell ref="E99:R99"/>
    <mergeCell ref="S99:V99"/>
    <mergeCell ref="E103:I103"/>
    <mergeCell ref="J103:M103"/>
    <mergeCell ref="N103:R103"/>
    <mergeCell ref="S103:X103"/>
    <mergeCell ref="E104:I104"/>
    <mergeCell ref="J104:M104"/>
    <mergeCell ref="N104:R104"/>
    <mergeCell ref="S104:X104"/>
    <mergeCell ref="E81:R81"/>
    <mergeCell ref="S81:V81"/>
    <mergeCell ref="E78:F78"/>
    <mergeCell ref="G78:I78"/>
    <mergeCell ref="J78:M78"/>
    <mergeCell ref="N78:Q78"/>
    <mergeCell ref="R78:U78"/>
    <mergeCell ref="V78:Y78"/>
    <mergeCell ref="G95:I95"/>
    <mergeCell ref="J95:M95"/>
    <mergeCell ref="N95:Q95"/>
    <mergeCell ref="R95:U95"/>
    <mergeCell ref="Z78:AF78"/>
    <mergeCell ref="E79:F79"/>
    <mergeCell ref="G79:I79"/>
    <mergeCell ref="J79:M79"/>
    <mergeCell ref="N79:Q79"/>
    <mergeCell ref="R79:U79"/>
    <mergeCell ref="V79:Y79"/>
    <mergeCell ref="Z79:AF79"/>
    <mergeCell ref="E73:R73"/>
    <mergeCell ref="S73:V73"/>
    <mergeCell ref="E77:F77"/>
    <mergeCell ref="G77:I77"/>
    <mergeCell ref="J77:M77"/>
    <mergeCell ref="N77:Q77"/>
    <mergeCell ref="R77:U77"/>
    <mergeCell ref="V77:Y77"/>
    <mergeCell ref="Z77:AF77"/>
    <mergeCell ref="Z71:AF71"/>
    <mergeCell ref="E4:F4"/>
    <mergeCell ref="E5:F5"/>
    <mergeCell ref="E9:F9"/>
    <mergeCell ref="J9:M9"/>
    <mergeCell ref="N9:Q9"/>
    <mergeCell ref="R9:U9"/>
    <mergeCell ref="H4:Q4"/>
    <mergeCell ref="H5:Q5"/>
    <mergeCell ref="E69:F69"/>
    <mergeCell ref="G69:I69"/>
    <mergeCell ref="J69:M69"/>
    <mergeCell ref="N69:Q69"/>
    <mergeCell ref="R69:U69"/>
    <mergeCell ref="E70:F70"/>
    <mergeCell ref="G70:I70"/>
    <mergeCell ref="J70:M70"/>
    <mergeCell ref="N70:Q70"/>
    <mergeCell ref="R70:U70"/>
    <mergeCell ref="E71:F71"/>
    <mergeCell ref="G71:I71"/>
    <mergeCell ref="E11:F11"/>
    <mergeCell ref="J11:M11"/>
    <mergeCell ref="N11:Q11"/>
    <mergeCell ref="R11:U11"/>
    <mergeCell ref="V11:Y11"/>
    <mergeCell ref="Z11:AF11"/>
    <mergeCell ref="V9:Y9"/>
    <mergeCell ref="Z9:AF9"/>
    <mergeCell ref="E10:F10"/>
    <mergeCell ref="J10:M10"/>
    <mergeCell ref="N10:Q10"/>
    <mergeCell ref="R10:U10"/>
    <mergeCell ref="V10:Y10"/>
    <mergeCell ref="Z10:AF10"/>
    <mergeCell ref="G9:I9"/>
    <mergeCell ref="G10:I10"/>
    <mergeCell ref="G11:I11"/>
    <mergeCell ref="E13:F13"/>
    <mergeCell ref="J13:M13"/>
    <mergeCell ref="N13:Q13"/>
    <mergeCell ref="R13:U13"/>
    <mergeCell ref="V13:Y13"/>
    <mergeCell ref="Z13:AF13"/>
    <mergeCell ref="E12:F12"/>
    <mergeCell ref="J12:M12"/>
    <mergeCell ref="N12:Q12"/>
    <mergeCell ref="R12:U12"/>
    <mergeCell ref="V12:Y12"/>
    <mergeCell ref="Z12:AF12"/>
    <mergeCell ref="G12:I12"/>
    <mergeCell ref="G13:I13"/>
    <mergeCell ref="E15:R15"/>
    <mergeCell ref="S15:V15"/>
    <mergeCell ref="E95:F95"/>
    <mergeCell ref="E29:F29"/>
    <mergeCell ref="G29:I29"/>
    <mergeCell ref="J29:M29"/>
    <mergeCell ref="N29:Q29"/>
    <mergeCell ref="G96:I96"/>
    <mergeCell ref="V95:Y95"/>
    <mergeCell ref="R29:U29"/>
    <mergeCell ref="V29:Y29"/>
    <mergeCell ref="E49:F49"/>
    <mergeCell ref="G49:I49"/>
    <mergeCell ref="J49:M49"/>
    <mergeCell ref="N49:Q49"/>
    <mergeCell ref="R49:U49"/>
    <mergeCell ref="V49:Y49"/>
    <mergeCell ref="J21:M21"/>
    <mergeCell ref="N21:Q21"/>
    <mergeCell ref="R21:U21"/>
    <mergeCell ref="V21:Y21"/>
    <mergeCell ref="J40:M40"/>
    <mergeCell ref="N40:Q40"/>
    <mergeCell ref="R40:U40"/>
    <mergeCell ref="Z95:AF95"/>
    <mergeCell ref="J96:M96"/>
    <mergeCell ref="N96:Q96"/>
    <mergeCell ref="R96:U96"/>
    <mergeCell ref="V96:Y96"/>
    <mergeCell ref="Z96:AF96"/>
    <mergeCell ref="E97:F97"/>
    <mergeCell ref="G97:I97"/>
    <mergeCell ref="J97:M97"/>
    <mergeCell ref="N97:Q97"/>
    <mergeCell ref="R97:U97"/>
    <mergeCell ref="V97:Y97"/>
    <mergeCell ref="Z97:AF97"/>
    <mergeCell ref="E96:F96"/>
    <mergeCell ref="E105:I105"/>
    <mergeCell ref="J105:M105"/>
    <mergeCell ref="N105:R105"/>
    <mergeCell ref="S105:X105"/>
    <mergeCell ref="E116:R116"/>
    <mergeCell ref="S116:V116"/>
    <mergeCell ref="O123:R123"/>
    <mergeCell ref="D124:N124"/>
    <mergeCell ref="O124:R124"/>
    <mergeCell ref="S124:AF124"/>
    <mergeCell ref="C119:R119"/>
    <mergeCell ref="S119:AF119"/>
    <mergeCell ref="D120:N120"/>
    <mergeCell ref="O120:R120"/>
    <mergeCell ref="S120:AF123"/>
    <mergeCell ref="D121:N121"/>
    <mergeCell ref="O121:R121"/>
    <mergeCell ref="D122:N122"/>
    <mergeCell ref="O122:R122"/>
    <mergeCell ref="D123:N123"/>
    <mergeCell ref="E110:AF113"/>
    <mergeCell ref="S107:V107"/>
    <mergeCell ref="E107:R107"/>
    <mergeCell ref="F118:AG118"/>
    <mergeCell ref="V30:Y30"/>
    <mergeCell ref="Z30:AF30"/>
    <mergeCell ref="R32:U32"/>
    <mergeCell ref="V32:Y32"/>
    <mergeCell ref="Z32:AF32"/>
    <mergeCell ref="E31:F31"/>
    <mergeCell ref="G31:I31"/>
    <mergeCell ref="J31:M31"/>
    <mergeCell ref="N31:Q31"/>
    <mergeCell ref="R31:U31"/>
    <mergeCell ref="V31:Y31"/>
    <mergeCell ref="Z49:AF49"/>
    <mergeCell ref="E33:F33"/>
    <mergeCell ref="G33:I33"/>
    <mergeCell ref="J33:M33"/>
    <mergeCell ref="N33:Q33"/>
    <mergeCell ref="R33:U33"/>
    <mergeCell ref="V33:Y33"/>
    <mergeCell ref="Z50:AF50"/>
    <mergeCell ref="E51:F51"/>
    <mergeCell ref="G51:I51"/>
    <mergeCell ref="J51:M51"/>
    <mergeCell ref="N51:Q51"/>
    <mergeCell ref="R51:U51"/>
    <mergeCell ref="V51:Y51"/>
    <mergeCell ref="Z51:AF51"/>
    <mergeCell ref="E50:F50"/>
    <mergeCell ref="G50:I50"/>
    <mergeCell ref="J50:M50"/>
    <mergeCell ref="N50:Q50"/>
    <mergeCell ref="R50:U50"/>
    <mergeCell ref="V50:Y50"/>
    <mergeCell ref="Z39:AF39"/>
    <mergeCell ref="E40:F40"/>
    <mergeCell ref="G40:I40"/>
    <mergeCell ref="Z19:AF19"/>
    <mergeCell ref="E20:F20"/>
    <mergeCell ref="G20:I20"/>
    <mergeCell ref="J20:M20"/>
    <mergeCell ref="N20:Q20"/>
    <mergeCell ref="R20:U20"/>
    <mergeCell ref="V20:Y20"/>
    <mergeCell ref="Z20:AF20"/>
    <mergeCell ref="E55:R55"/>
    <mergeCell ref="S55:V55"/>
    <mergeCell ref="E19:F19"/>
    <mergeCell ref="G19:I19"/>
    <mergeCell ref="J19:M19"/>
    <mergeCell ref="N19:Q19"/>
    <mergeCell ref="R19:U19"/>
    <mergeCell ref="V19:Y19"/>
    <mergeCell ref="E21:F21"/>
    <mergeCell ref="G21:I21"/>
    <mergeCell ref="Z52:AF52"/>
    <mergeCell ref="E53:F53"/>
    <mergeCell ref="G53:I53"/>
    <mergeCell ref="J53:M53"/>
    <mergeCell ref="N53:Q53"/>
    <mergeCell ref="R53:U53"/>
    <mergeCell ref="Z21:AF21"/>
    <mergeCell ref="E22:F22"/>
    <mergeCell ref="G22:I22"/>
    <mergeCell ref="J22:M22"/>
    <mergeCell ref="N22:Q22"/>
    <mergeCell ref="R22:U22"/>
    <mergeCell ref="V22:Y22"/>
    <mergeCell ref="Z22:AF22"/>
    <mergeCell ref="E23:F23"/>
    <mergeCell ref="G23:I23"/>
    <mergeCell ref="J23:M23"/>
    <mergeCell ref="N23:Q23"/>
    <mergeCell ref="R23:U23"/>
    <mergeCell ref="V23:Y23"/>
    <mergeCell ref="Z23:AF23"/>
    <mergeCell ref="V40:Y40"/>
    <mergeCell ref="Z40:AF40"/>
    <mergeCell ref="E25:R25"/>
    <mergeCell ref="S25:V25"/>
    <mergeCell ref="E39:F39"/>
    <mergeCell ref="G39:I39"/>
    <mergeCell ref="J39:M39"/>
    <mergeCell ref="N39:Q39"/>
    <mergeCell ref="R39:U39"/>
    <mergeCell ref="V39:Y39"/>
    <mergeCell ref="Z33:AF33"/>
    <mergeCell ref="E35:R35"/>
    <mergeCell ref="S35:V35"/>
    <mergeCell ref="Z31:AF31"/>
    <mergeCell ref="E32:F32"/>
    <mergeCell ref="G32:I32"/>
    <mergeCell ref="J32:M32"/>
    <mergeCell ref="N32:Q32"/>
    <mergeCell ref="Z29:AF29"/>
    <mergeCell ref="E30:F30"/>
    <mergeCell ref="G30:I30"/>
    <mergeCell ref="J30:M30"/>
    <mergeCell ref="N30:Q30"/>
    <mergeCell ref="R30:U30"/>
    <mergeCell ref="Z41:AF41"/>
    <mergeCell ref="E42:F42"/>
    <mergeCell ref="G42:I42"/>
    <mergeCell ref="J42:M42"/>
    <mergeCell ref="N42:Q42"/>
    <mergeCell ref="R42:U42"/>
    <mergeCell ref="V42:Y42"/>
    <mergeCell ref="Z42:AF42"/>
    <mergeCell ref="E41:F41"/>
    <mergeCell ref="G41:I41"/>
    <mergeCell ref="J41:M41"/>
    <mergeCell ref="N41:Q41"/>
    <mergeCell ref="R41:U41"/>
    <mergeCell ref="V41:Y41"/>
    <mergeCell ref="Z43:AF43"/>
    <mergeCell ref="E45:R45"/>
    <mergeCell ref="S45:V45"/>
    <mergeCell ref="E59:F59"/>
    <mergeCell ref="G59:I59"/>
    <mergeCell ref="J59:M59"/>
    <mergeCell ref="N59:Q59"/>
    <mergeCell ref="R59:U59"/>
    <mergeCell ref="V59:Y59"/>
    <mergeCell ref="Z59:AF59"/>
    <mergeCell ref="E43:F43"/>
    <mergeCell ref="G43:I43"/>
    <mergeCell ref="J43:M43"/>
    <mergeCell ref="N43:Q43"/>
    <mergeCell ref="R43:U43"/>
    <mergeCell ref="V43:Y43"/>
    <mergeCell ref="V53:Y53"/>
    <mergeCell ref="Z53:AF53"/>
    <mergeCell ref="E52:F52"/>
    <mergeCell ref="G52:I52"/>
    <mergeCell ref="J52:M52"/>
    <mergeCell ref="N52:Q52"/>
    <mergeCell ref="R52:U52"/>
    <mergeCell ref="V52:Y52"/>
    <mergeCell ref="Z60:AF60"/>
    <mergeCell ref="E61:F61"/>
    <mergeCell ref="G61:I61"/>
    <mergeCell ref="J61:M61"/>
    <mergeCell ref="N61:Q61"/>
    <mergeCell ref="R61:U61"/>
    <mergeCell ref="V61:Y61"/>
    <mergeCell ref="Z61:AF61"/>
    <mergeCell ref="E60:F60"/>
    <mergeCell ref="G60:I60"/>
    <mergeCell ref="J60:M60"/>
    <mergeCell ref="N60:Q60"/>
    <mergeCell ref="R60:U60"/>
    <mergeCell ref="V60:Y60"/>
    <mergeCell ref="Z62:AF62"/>
    <mergeCell ref="E63:F63"/>
    <mergeCell ref="G63:I63"/>
    <mergeCell ref="J63:M63"/>
    <mergeCell ref="N63:Q63"/>
    <mergeCell ref="R63:U63"/>
    <mergeCell ref="V63:Y63"/>
    <mergeCell ref="Z63:AF63"/>
    <mergeCell ref="E62:F62"/>
    <mergeCell ref="G62:I62"/>
    <mergeCell ref="J62:M62"/>
    <mergeCell ref="N62:Q62"/>
    <mergeCell ref="R62:U62"/>
    <mergeCell ref="V62:Y62"/>
    <mergeCell ref="Z85:AF85"/>
    <mergeCell ref="E86:F86"/>
    <mergeCell ref="G86:I86"/>
    <mergeCell ref="J86:M86"/>
    <mergeCell ref="N86:Q86"/>
    <mergeCell ref="R86:U86"/>
    <mergeCell ref="V86:Y86"/>
    <mergeCell ref="Z86:AF86"/>
    <mergeCell ref="E65:R65"/>
    <mergeCell ref="S65:V65"/>
    <mergeCell ref="E85:F85"/>
    <mergeCell ref="G85:I85"/>
    <mergeCell ref="J85:M85"/>
    <mergeCell ref="N85:Q85"/>
    <mergeCell ref="R85:U85"/>
    <mergeCell ref="V85:Y85"/>
    <mergeCell ref="V69:Y69"/>
    <mergeCell ref="Z69:AF69"/>
    <mergeCell ref="V70:Y70"/>
    <mergeCell ref="Z70:AF70"/>
    <mergeCell ref="J71:M71"/>
    <mergeCell ref="N71:Q71"/>
    <mergeCell ref="R71:U71"/>
    <mergeCell ref="V71:Y71"/>
    <mergeCell ref="Z87:AF87"/>
    <mergeCell ref="E88:F88"/>
    <mergeCell ref="G88:I88"/>
    <mergeCell ref="J88:M88"/>
    <mergeCell ref="N88:Q88"/>
    <mergeCell ref="R88:U88"/>
    <mergeCell ref="V88:Y88"/>
    <mergeCell ref="Z88:AF88"/>
    <mergeCell ref="E87:F87"/>
    <mergeCell ref="G87:I87"/>
    <mergeCell ref="J87:M87"/>
    <mergeCell ref="N87:Q87"/>
    <mergeCell ref="R87:U87"/>
    <mergeCell ref="V87:Y87"/>
    <mergeCell ref="Z89:AF89"/>
    <mergeCell ref="E91:R91"/>
    <mergeCell ref="S91:V91"/>
    <mergeCell ref="E89:F89"/>
    <mergeCell ref="G89:I89"/>
    <mergeCell ref="J89:M89"/>
    <mergeCell ref="N89:Q89"/>
    <mergeCell ref="R89:U89"/>
    <mergeCell ref="V89:Y89"/>
  </mergeCells>
  <phoneticPr fontId="9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73" orientation="portrait" r:id="rId1"/>
  <rowBreaks count="2" manualBreakCount="2">
    <brk id="46" min="1" max="32" man="1"/>
    <brk id="92" min="1" max="3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30BC11-E685-4490-9BDF-561884A63D71}">
          <x14:formula1>
            <xm:f>'DATA VALIDASI'!$E$2:$E$3</xm:f>
          </x14:formula1>
          <xm:sqref>J104:M105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3304-BF8D-4058-8BB3-ACDBAD770116}">
  <dimension ref="B1:AJ79"/>
  <sheetViews>
    <sheetView tabSelected="1" view="pageBreakPreview" topLeftCell="A67" zoomScale="90" zoomScaleNormal="100" zoomScaleSheetLayoutView="90" workbookViewId="0">
      <selection activeCell="AA14" sqref="AA14"/>
    </sheetView>
  </sheetViews>
  <sheetFormatPr defaultColWidth="8.88671875" defaultRowHeight="16.95" customHeight="1" x14ac:dyDescent="0.3"/>
  <cols>
    <col min="1" max="1" width="4.21875" style="1" customWidth="1"/>
    <col min="2" max="11" width="3.6640625" style="1" customWidth="1"/>
    <col min="12" max="12" width="6.33203125" style="1" customWidth="1"/>
    <col min="13" max="107" width="3.6640625" style="1" customWidth="1"/>
    <col min="108" max="16384" width="8.88671875" style="1"/>
  </cols>
  <sheetData>
    <row r="1" spans="2:33" ht="16.95" customHeight="1" thickBot="1" x14ac:dyDescent="0.35"/>
    <row r="2" spans="2:33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3" ht="16.95" customHeight="1" x14ac:dyDescent="0.3">
      <c r="B3" s="21"/>
      <c r="C3" s="5"/>
      <c r="D3" s="6"/>
      <c r="E3" s="42" t="s">
        <v>9</v>
      </c>
      <c r="F3" s="42"/>
      <c r="G3" s="4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2"/>
    </row>
    <row r="4" spans="2:33" ht="16.95" customHeight="1" x14ac:dyDescent="0.3">
      <c r="B4" s="21"/>
      <c r="C4" s="8"/>
      <c r="E4" s="128" t="s">
        <v>0</v>
      </c>
      <c r="F4" s="128"/>
      <c r="G4" s="14" t="s">
        <v>10</v>
      </c>
      <c r="H4" s="130" t="s">
        <v>228</v>
      </c>
      <c r="I4" s="130"/>
      <c r="J4" s="130"/>
      <c r="K4" s="130"/>
      <c r="L4" s="130"/>
      <c r="M4" s="130"/>
      <c r="N4" s="130"/>
      <c r="O4" s="130"/>
      <c r="P4" s="130"/>
      <c r="AF4" s="10"/>
      <c r="AG4" s="22"/>
    </row>
    <row r="5" spans="2:33" ht="16.95" customHeight="1" x14ac:dyDescent="0.3">
      <c r="B5" s="21"/>
      <c r="C5" s="11"/>
      <c r="D5" s="12"/>
      <c r="E5" s="129" t="s">
        <v>1</v>
      </c>
      <c r="F5" s="129"/>
      <c r="G5" s="43" t="s">
        <v>10</v>
      </c>
      <c r="H5" s="145" t="s">
        <v>228</v>
      </c>
      <c r="I5" s="145"/>
      <c r="J5" s="145"/>
      <c r="K5" s="145"/>
      <c r="L5" s="145"/>
      <c r="M5" s="145"/>
      <c r="N5" s="145"/>
      <c r="O5" s="145"/>
      <c r="P5" s="14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2"/>
    </row>
    <row r="6" spans="2:33" ht="16.95" customHeight="1" x14ac:dyDescent="0.3">
      <c r="B6" s="21"/>
      <c r="E6" s="9"/>
      <c r="F6" s="9"/>
      <c r="H6" s="2"/>
      <c r="I6" s="2"/>
      <c r="J6" s="2"/>
      <c r="K6" s="2"/>
      <c r="L6" s="2"/>
      <c r="M6" s="2"/>
      <c r="N6" s="2"/>
      <c r="O6" s="2"/>
      <c r="P6" s="2"/>
      <c r="AG6" s="22"/>
    </row>
    <row r="7" spans="2:33" ht="16.95" customHeight="1" x14ac:dyDescent="0.3">
      <c r="B7" s="21"/>
      <c r="C7" s="14">
        <v>2</v>
      </c>
      <c r="D7" s="14"/>
      <c r="E7" s="14" t="s">
        <v>147</v>
      </c>
      <c r="F7" s="9"/>
      <c r="H7" s="2"/>
      <c r="I7" s="2"/>
      <c r="J7" s="2"/>
      <c r="K7" s="2"/>
      <c r="L7" s="2"/>
      <c r="M7" s="2"/>
      <c r="N7" s="2"/>
      <c r="O7" s="2"/>
      <c r="P7" s="2"/>
      <c r="AG7" s="22"/>
    </row>
    <row r="8" spans="2:33" ht="16.95" customHeight="1" thickBot="1" x14ac:dyDescent="0.35">
      <c r="B8" s="21"/>
      <c r="C8" s="14"/>
      <c r="D8" s="14"/>
      <c r="E8" s="14"/>
      <c r="F8" s="9"/>
      <c r="H8" s="2"/>
      <c r="I8" s="2"/>
      <c r="J8" s="2"/>
      <c r="K8" s="2"/>
      <c r="L8" s="2"/>
      <c r="M8" s="2"/>
      <c r="N8" s="2"/>
      <c r="O8" s="2"/>
      <c r="P8" s="2"/>
      <c r="AG8" s="22"/>
    </row>
    <row r="9" spans="2:33" ht="16.95" customHeight="1" x14ac:dyDescent="0.3">
      <c r="B9" s="21"/>
      <c r="C9" s="14"/>
      <c r="D9" s="14"/>
      <c r="E9" s="146" t="s">
        <v>115</v>
      </c>
      <c r="F9" s="147"/>
      <c r="G9" s="147"/>
      <c r="H9" s="147"/>
      <c r="I9" s="147"/>
      <c r="J9" s="147"/>
      <c r="K9" s="48" t="s">
        <v>10</v>
      </c>
      <c r="L9" s="148">
        <v>0.92</v>
      </c>
      <c r="M9" s="143"/>
      <c r="N9" s="143"/>
      <c r="O9" s="143" t="s">
        <v>116</v>
      </c>
      <c r="P9" s="144"/>
      <c r="AG9" s="22"/>
    </row>
    <row r="10" spans="2:33" ht="16.95" customHeight="1" x14ac:dyDescent="0.3">
      <c r="B10" s="21"/>
      <c r="C10" s="14"/>
      <c r="D10" s="14"/>
      <c r="E10" s="152" t="s">
        <v>117</v>
      </c>
      <c r="F10" s="64"/>
      <c r="G10" s="64"/>
      <c r="H10" s="64"/>
      <c r="I10" s="64"/>
      <c r="J10" s="64"/>
      <c r="K10" s="49" t="s">
        <v>10</v>
      </c>
      <c r="L10" s="153">
        <v>0.36</v>
      </c>
      <c r="M10" s="57"/>
      <c r="N10" s="57"/>
      <c r="O10" s="57"/>
      <c r="P10" s="154"/>
      <c r="AG10" s="22"/>
    </row>
    <row r="11" spans="2:33" ht="16.95" customHeight="1" x14ac:dyDescent="0.3">
      <c r="B11" s="21"/>
      <c r="E11" s="152" t="s">
        <v>118</v>
      </c>
      <c r="F11" s="64"/>
      <c r="G11" s="64"/>
      <c r="H11" s="64"/>
      <c r="I11" s="64"/>
      <c r="J11" s="64"/>
      <c r="K11" s="49" t="s">
        <v>10</v>
      </c>
      <c r="L11" s="153">
        <v>0.38500000000000001</v>
      </c>
      <c r="M11" s="57"/>
      <c r="N11" s="57"/>
      <c r="O11" s="57" t="s">
        <v>116</v>
      </c>
      <c r="P11" s="154"/>
      <c r="AG11" s="22"/>
    </row>
    <row r="12" spans="2:33" ht="16.95" customHeight="1" thickBot="1" x14ac:dyDescent="0.35">
      <c r="B12" s="21"/>
      <c r="E12" s="149" t="s">
        <v>119</v>
      </c>
      <c r="F12" s="150"/>
      <c r="G12" s="150"/>
      <c r="H12" s="150"/>
      <c r="I12" s="150"/>
      <c r="J12" s="150"/>
      <c r="K12" s="50" t="s">
        <v>10</v>
      </c>
      <c r="L12" s="151">
        <v>0.59</v>
      </c>
      <c r="M12" s="111"/>
      <c r="N12" s="111"/>
      <c r="O12" s="111"/>
      <c r="P12" s="112"/>
      <c r="AG12" s="22"/>
    </row>
    <row r="13" spans="2:33" ht="16.95" customHeight="1" x14ac:dyDescent="0.3">
      <c r="B13" s="21"/>
      <c r="AG13" s="22"/>
    </row>
    <row r="14" spans="2:33" ht="16.95" customHeight="1" x14ac:dyDescent="0.3">
      <c r="B14" s="21"/>
      <c r="C14" s="14" t="s">
        <v>31</v>
      </c>
      <c r="D14" s="14"/>
      <c r="E14" s="14" t="s">
        <v>160</v>
      </c>
      <c r="AG14" s="23"/>
    </row>
    <row r="15" spans="2:33" ht="16.95" customHeight="1" thickBot="1" x14ac:dyDescent="0.35">
      <c r="B15" s="21"/>
      <c r="AG15" s="22"/>
    </row>
    <row r="16" spans="2:33" ht="37.200000000000003" customHeight="1" thickBot="1" x14ac:dyDescent="0.35">
      <c r="B16" s="21"/>
      <c r="E16" s="164" t="s">
        <v>38</v>
      </c>
      <c r="F16" s="104"/>
      <c r="G16" s="104"/>
      <c r="H16" s="104"/>
      <c r="I16" s="104" t="s">
        <v>23</v>
      </c>
      <c r="J16" s="104"/>
      <c r="K16" s="104"/>
      <c r="L16" s="104"/>
      <c r="M16" s="92" t="s">
        <v>121</v>
      </c>
      <c r="N16" s="92"/>
      <c r="O16" s="92"/>
      <c r="P16" s="92"/>
      <c r="Q16" s="92"/>
      <c r="R16" s="92" t="s">
        <v>122</v>
      </c>
      <c r="S16" s="92"/>
      <c r="T16" s="92"/>
      <c r="U16" s="92"/>
      <c r="V16" s="92"/>
      <c r="W16" s="92" t="s">
        <v>123</v>
      </c>
      <c r="X16" s="92"/>
      <c r="Y16" s="92"/>
      <c r="Z16" s="92"/>
      <c r="AA16" s="92"/>
      <c r="AB16" s="92" t="s">
        <v>124</v>
      </c>
      <c r="AC16" s="92"/>
      <c r="AD16" s="92"/>
      <c r="AE16" s="92"/>
      <c r="AF16" s="93"/>
      <c r="AG16" s="22"/>
    </row>
    <row r="17" spans="2:33" ht="16.95" customHeight="1" x14ac:dyDescent="0.3">
      <c r="B17" s="21"/>
      <c r="E17" s="94" t="s">
        <v>125</v>
      </c>
      <c r="F17" s="95"/>
      <c r="G17" s="95"/>
      <c r="H17" s="95"/>
      <c r="I17" s="155" t="s">
        <v>126</v>
      </c>
      <c r="J17" s="155"/>
      <c r="K17" s="155"/>
      <c r="L17" s="155"/>
      <c r="M17" s="156">
        <v>0.93799999999999994</v>
      </c>
      <c r="N17" s="157"/>
      <c r="O17" s="157"/>
      <c r="P17" s="157"/>
      <c r="Q17" s="157"/>
      <c r="R17" s="157">
        <v>0.92900000000000005</v>
      </c>
      <c r="S17" s="157"/>
      <c r="T17" s="157"/>
      <c r="U17" s="157"/>
      <c r="V17" s="157"/>
      <c r="W17" s="157">
        <v>0.93799999999999994</v>
      </c>
      <c r="X17" s="157"/>
      <c r="Y17" s="157"/>
      <c r="Z17" s="157"/>
      <c r="AA17" s="157"/>
      <c r="AB17" s="157">
        <v>0.39700000000000002</v>
      </c>
      <c r="AC17" s="157"/>
      <c r="AD17" s="157"/>
      <c r="AE17" s="157"/>
      <c r="AF17" s="158"/>
      <c r="AG17" s="22"/>
    </row>
    <row r="18" spans="2:33" ht="16.95" customHeight="1" x14ac:dyDescent="0.3">
      <c r="B18" s="21"/>
      <c r="E18" s="87"/>
      <c r="F18" s="88"/>
      <c r="G18" s="88"/>
      <c r="H18" s="88"/>
      <c r="I18" s="159" t="s">
        <v>21</v>
      </c>
      <c r="J18" s="159"/>
      <c r="K18" s="159"/>
      <c r="L18" s="159"/>
      <c r="M18" s="160">
        <f>IFERROR(((M17-$L$9)/$L$9),0)</f>
        <v>1.9565217391304245E-2</v>
      </c>
      <c r="N18" s="160"/>
      <c r="O18" s="160"/>
      <c r="P18" s="160"/>
      <c r="Q18" s="160"/>
      <c r="R18" s="160">
        <f t="shared" ref="R18" si="0">IFERROR(((R17-$L$9)/$L$9),0)</f>
        <v>9.7826086956521816E-3</v>
      </c>
      <c r="S18" s="160"/>
      <c r="T18" s="160"/>
      <c r="U18" s="160"/>
      <c r="V18" s="160"/>
      <c r="W18" s="160">
        <f>IFERROR(((W17-$L$9)/$L$9),0)</f>
        <v>1.9565217391304245E-2</v>
      </c>
      <c r="X18" s="160"/>
      <c r="Y18" s="160"/>
      <c r="Z18" s="160"/>
      <c r="AA18" s="160"/>
      <c r="AB18" s="160">
        <f>IFERROR(((AB17-$L$11)/$L$11),0)</f>
        <v>3.1168831168831197E-2</v>
      </c>
      <c r="AC18" s="160"/>
      <c r="AD18" s="160"/>
      <c r="AE18" s="160"/>
      <c r="AF18" s="161"/>
      <c r="AG18" s="27">
        <f>COUNTIF(M19:AF19,6)</f>
        <v>0</v>
      </c>
    </row>
    <row r="19" spans="2:33" ht="16.95" customHeight="1" x14ac:dyDescent="0.3">
      <c r="B19" s="21"/>
      <c r="E19" s="87"/>
      <c r="F19" s="88"/>
      <c r="G19" s="88"/>
      <c r="H19" s="88"/>
      <c r="I19" s="159" t="s">
        <v>8</v>
      </c>
      <c r="J19" s="159"/>
      <c r="K19" s="159"/>
      <c r="L19" s="159"/>
      <c r="M19" s="162">
        <f>IF((ABS(M18)&lt;=0.05),9,IF((ABS(M18)&lt;=0.1),6,1))</f>
        <v>9</v>
      </c>
      <c r="N19" s="162"/>
      <c r="O19" s="162"/>
      <c r="P19" s="162"/>
      <c r="Q19" s="162"/>
      <c r="R19" s="162">
        <f t="shared" ref="R19" si="1">IF((ABS(R18)&lt;=0.05),9,IF((ABS(R18)&lt;=0.1),6,1))</f>
        <v>9</v>
      </c>
      <c r="S19" s="162"/>
      <c r="T19" s="162"/>
      <c r="U19" s="162"/>
      <c r="V19" s="162"/>
      <c r="W19" s="162">
        <f>IF((ABS(W18)&lt;=0.05),9,IF((ABS(W18)&lt;=0.1),6,1))</f>
        <v>9</v>
      </c>
      <c r="X19" s="162"/>
      <c r="Y19" s="162"/>
      <c r="Z19" s="162"/>
      <c r="AA19" s="162"/>
      <c r="AB19" s="162">
        <f>IF((ABS(AB18)&lt;=0.05),9,IF((ABS(AB18)&lt;=0.1),6,1))</f>
        <v>9</v>
      </c>
      <c r="AC19" s="162"/>
      <c r="AD19" s="162"/>
      <c r="AE19" s="162"/>
      <c r="AF19" s="163"/>
      <c r="AG19" s="27">
        <f>COUNTIF(M19:AF19,1)</f>
        <v>0</v>
      </c>
    </row>
    <row r="20" spans="2:33" ht="16.95" customHeight="1" x14ac:dyDescent="0.3">
      <c r="B20" s="21"/>
      <c r="E20" s="87" t="s">
        <v>127</v>
      </c>
      <c r="F20" s="88"/>
      <c r="G20" s="88"/>
      <c r="H20" s="88"/>
      <c r="I20" s="159" t="s">
        <v>126</v>
      </c>
      <c r="J20" s="159"/>
      <c r="K20" s="159"/>
      <c r="L20" s="159"/>
      <c r="M20" s="167">
        <v>0.86499999999999999</v>
      </c>
      <c r="N20" s="168"/>
      <c r="O20" s="168"/>
      <c r="P20" s="168"/>
      <c r="Q20" s="168"/>
      <c r="R20" s="168">
        <v>0.86499999999999999</v>
      </c>
      <c r="S20" s="168"/>
      <c r="T20" s="168"/>
      <c r="U20" s="168"/>
      <c r="V20" s="168"/>
      <c r="W20" s="168">
        <v>0.874</v>
      </c>
      <c r="X20" s="168"/>
      <c r="Y20" s="168"/>
      <c r="Z20" s="168"/>
      <c r="AA20" s="168"/>
      <c r="AB20" s="168">
        <v>0.35799999999999998</v>
      </c>
      <c r="AC20" s="168"/>
      <c r="AD20" s="168"/>
      <c r="AE20" s="168"/>
      <c r="AF20" s="169"/>
      <c r="AG20" s="22"/>
    </row>
    <row r="21" spans="2:33" ht="16.95" customHeight="1" x14ac:dyDescent="0.3">
      <c r="B21" s="21"/>
      <c r="E21" s="87"/>
      <c r="F21" s="88"/>
      <c r="G21" s="88"/>
      <c r="H21" s="88"/>
      <c r="I21" s="159" t="s">
        <v>128</v>
      </c>
      <c r="J21" s="159"/>
      <c r="K21" s="159"/>
      <c r="L21" s="159"/>
      <c r="M21" s="160">
        <f>IFERROR((M20/M17),0)</f>
        <v>0.92217484008528794</v>
      </c>
      <c r="N21" s="160"/>
      <c r="O21" s="160"/>
      <c r="P21" s="160"/>
      <c r="Q21" s="160"/>
      <c r="R21" s="160">
        <f t="shared" ref="R21" si="2">IFERROR((R20/R17),0)</f>
        <v>0.93110871905274484</v>
      </c>
      <c r="S21" s="160"/>
      <c r="T21" s="160"/>
      <c r="U21" s="160"/>
      <c r="V21" s="160"/>
      <c r="W21" s="160">
        <f>IFERROR((W20/W17),0)</f>
        <v>0.93176972281449899</v>
      </c>
      <c r="X21" s="160"/>
      <c r="Y21" s="160"/>
      <c r="Z21" s="160"/>
      <c r="AA21" s="160"/>
      <c r="AB21" s="160">
        <f>IFERROR((AB20/AB17),0)</f>
        <v>0.90176322418136012</v>
      </c>
      <c r="AC21" s="160"/>
      <c r="AD21" s="160"/>
      <c r="AE21" s="160"/>
      <c r="AF21" s="161"/>
      <c r="AG21" s="27">
        <f>COUNTIF(M22:AF22,6)</f>
        <v>4</v>
      </c>
    </row>
    <row r="22" spans="2:33" ht="16.95" customHeight="1" thickBot="1" x14ac:dyDescent="0.35">
      <c r="B22" s="21"/>
      <c r="E22" s="79"/>
      <c r="F22" s="80"/>
      <c r="G22" s="80"/>
      <c r="H22" s="80"/>
      <c r="I22" s="165" t="s">
        <v>8</v>
      </c>
      <c r="J22" s="165"/>
      <c r="K22" s="165"/>
      <c r="L22" s="165"/>
      <c r="M22" s="166">
        <f>IF((ABS(M21)&gt;=0.95),9,IF((ABS(M21)&gt;=0.9),6,IF((ABS(M21)=0),9,1)))</f>
        <v>6</v>
      </c>
      <c r="N22" s="166"/>
      <c r="O22" s="166"/>
      <c r="P22" s="166"/>
      <c r="Q22" s="166"/>
      <c r="R22" s="166">
        <f t="shared" ref="R22" si="3">IF((ABS(R21)&gt;=0.95),9,IF((ABS(R21)&gt;=0.9),6,IF((ABS(R21)=0),9,1)))</f>
        <v>6</v>
      </c>
      <c r="S22" s="166"/>
      <c r="T22" s="166"/>
      <c r="U22" s="166"/>
      <c r="V22" s="166"/>
      <c r="W22" s="166">
        <f t="shared" ref="W22" si="4">IF((ABS(W21)&gt;=0.95),9,IF((ABS(W21)&gt;=0.9),6,IF((ABS(W21)=0),9,1)))</f>
        <v>6</v>
      </c>
      <c r="X22" s="166"/>
      <c r="Y22" s="166"/>
      <c r="Z22" s="166"/>
      <c r="AA22" s="166"/>
      <c r="AB22" s="166">
        <f t="shared" ref="AB22" si="5">IF((ABS(AB21)&gt;=0.95),9,IF((ABS(AB21)&gt;=0.9),6,IF((ABS(AB21)=0),9,1)))</f>
        <v>6</v>
      </c>
      <c r="AC22" s="166"/>
      <c r="AD22" s="166"/>
      <c r="AE22" s="166"/>
      <c r="AF22" s="166"/>
      <c r="AG22" s="27">
        <f>COUNTIF(M22:AF22,1)</f>
        <v>0</v>
      </c>
    </row>
    <row r="23" spans="2:33" ht="16.95" customHeight="1" x14ac:dyDescent="0.3">
      <c r="B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G23" s="22"/>
    </row>
    <row r="24" spans="2:33" ht="16.95" customHeight="1" x14ac:dyDescent="0.3">
      <c r="B24" s="21"/>
      <c r="E24" s="171" t="s">
        <v>129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3"/>
      <c r="S24" s="170">
        <f>MIN(M19:AF19,M22:AF22)</f>
        <v>6</v>
      </c>
      <c r="T24" s="58"/>
      <c r="U24" s="58"/>
      <c r="V24" s="58"/>
      <c r="AG24" s="22"/>
    </row>
    <row r="25" spans="2:33" ht="16.95" customHeight="1" x14ac:dyDescent="0.3">
      <c r="B25" s="21"/>
      <c r="AG25" s="22"/>
    </row>
    <row r="26" spans="2:33" ht="16.95" customHeight="1" x14ac:dyDescent="0.3">
      <c r="B26" s="21"/>
      <c r="C26" s="14" t="s">
        <v>32</v>
      </c>
      <c r="D26" s="14"/>
      <c r="E26" s="14" t="s">
        <v>148</v>
      </c>
      <c r="AG26" s="22"/>
    </row>
    <row r="27" spans="2:33" ht="16.95" customHeight="1" thickBot="1" x14ac:dyDescent="0.35">
      <c r="B27" s="21"/>
      <c r="AG27" s="22"/>
    </row>
    <row r="28" spans="2:33" ht="37.200000000000003" customHeight="1" thickBot="1" x14ac:dyDescent="0.35">
      <c r="B28" s="21"/>
      <c r="E28" s="164" t="s">
        <v>131</v>
      </c>
      <c r="F28" s="104"/>
      <c r="G28" s="104"/>
      <c r="H28" s="104"/>
      <c r="I28" s="104" t="s">
        <v>23</v>
      </c>
      <c r="J28" s="104"/>
      <c r="K28" s="104"/>
      <c r="L28" s="104"/>
      <c r="M28" s="92" t="s">
        <v>132</v>
      </c>
      <c r="N28" s="92"/>
      <c r="O28" s="92"/>
      <c r="P28" s="92"/>
      <c r="Q28" s="92"/>
      <c r="R28" s="92" t="s">
        <v>133</v>
      </c>
      <c r="S28" s="92"/>
      <c r="T28" s="92"/>
      <c r="U28" s="92"/>
      <c r="V28" s="92"/>
      <c r="W28" s="92" t="s">
        <v>134</v>
      </c>
      <c r="X28" s="92"/>
      <c r="Y28" s="92"/>
      <c r="Z28" s="92"/>
      <c r="AA28" s="92"/>
      <c r="AB28" s="92" t="s">
        <v>135</v>
      </c>
      <c r="AC28" s="92"/>
      <c r="AD28" s="92"/>
      <c r="AE28" s="92"/>
      <c r="AF28" s="93"/>
      <c r="AG28" s="22"/>
    </row>
    <row r="29" spans="2:33" ht="16.95" customHeight="1" x14ac:dyDescent="0.3">
      <c r="B29" s="21"/>
      <c r="E29" s="94" t="s">
        <v>136</v>
      </c>
      <c r="F29" s="95"/>
      <c r="G29" s="95"/>
      <c r="H29" s="95"/>
      <c r="I29" s="155" t="s">
        <v>137</v>
      </c>
      <c r="J29" s="155"/>
      <c r="K29" s="155"/>
      <c r="L29" s="155"/>
      <c r="M29" s="174">
        <f>1.5*$L$9</f>
        <v>1.3800000000000001</v>
      </c>
      <c r="N29" s="174"/>
      <c r="O29" s="174"/>
      <c r="P29" s="174"/>
      <c r="Q29" s="174"/>
      <c r="R29" s="174">
        <f>2*$L$9</f>
        <v>1.84</v>
      </c>
      <c r="S29" s="174"/>
      <c r="T29" s="174"/>
      <c r="U29" s="174"/>
      <c r="V29" s="174"/>
      <c r="W29" s="174">
        <f>2.5*$L$9</f>
        <v>2.3000000000000003</v>
      </c>
      <c r="X29" s="174"/>
      <c r="Y29" s="174"/>
      <c r="Z29" s="174"/>
      <c r="AA29" s="174"/>
      <c r="AB29" s="174">
        <f>3*$L$9</f>
        <v>2.7600000000000002</v>
      </c>
      <c r="AC29" s="174"/>
      <c r="AD29" s="174"/>
      <c r="AE29" s="174"/>
      <c r="AF29" s="175"/>
      <c r="AG29" s="22"/>
    </row>
    <row r="30" spans="2:33" ht="16.95" customHeight="1" x14ac:dyDescent="0.3">
      <c r="B30" s="21"/>
      <c r="E30" s="87"/>
      <c r="F30" s="88"/>
      <c r="G30" s="88"/>
      <c r="H30" s="88"/>
      <c r="I30" s="159" t="s">
        <v>138</v>
      </c>
      <c r="J30" s="159"/>
      <c r="K30" s="159"/>
      <c r="L30" s="159"/>
      <c r="M30" s="176">
        <f>0.14*$L$10/(((M29/$L$9)^0.02)-1)</f>
        <v>6.1899187842203141</v>
      </c>
      <c r="N30" s="176"/>
      <c r="O30" s="176"/>
      <c r="P30" s="176"/>
      <c r="Q30" s="176"/>
      <c r="R30" s="176">
        <f t="shared" ref="R30" si="6">0.14*$L$10/(((R29/$L$9)^0.02)-1)</f>
        <v>3.6104497272168734</v>
      </c>
      <c r="S30" s="176"/>
      <c r="T30" s="176"/>
      <c r="U30" s="176"/>
      <c r="V30" s="176"/>
      <c r="W30" s="176">
        <f t="shared" ref="W30" si="7">0.14*$L$10/(((W29/$L$9)^0.02)-1)</f>
        <v>2.7250957711926547</v>
      </c>
      <c r="X30" s="176"/>
      <c r="Y30" s="176"/>
      <c r="Z30" s="176"/>
      <c r="AA30" s="176"/>
      <c r="AB30" s="176">
        <f t="shared" ref="AB30" si="8">0.14*$L$10/(((AB29/$L$9)^0.02)-1)</f>
        <v>2.2686951337893371</v>
      </c>
      <c r="AC30" s="176"/>
      <c r="AD30" s="176"/>
      <c r="AE30" s="176"/>
      <c r="AF30" s="177"/>
      <c r="AG30" s="22"/>
    </row>
    <row r="31" spans="2:33" ht="16.95" customHeight="1" x14ac:dyDescent="0.3">
      <c r="B31" s="21"/>
      <c r="E31" s="87"/>
      <c r="F31" s="88"/>
      <c r="G31" s="88"/>
      <c r="H31" s="88"/>
      <c r="I31" s="159" t="s">
        <v>139</v>
      </c>
      <c r="J31" s="159"/>
      <c r="K31" s="159"/>
      <c r="L31" s="159"/>
      <c r="M31" s="178">
        <v>6.2640000000000002</v>
      </c>
      <c r="N31" s="179"/>
      <c r="O31" s="179"/>
      <c r="P31" s="179"/>
      <c r="Q31" s="180"/>
      <c r="R31" s="178">
        <v>3.629</v>
      </c>
      <c r="S31" s="179"/>
      <c r="T31" s="179"/>
      <c r="U31" s="179"/>
      <c r="V31" s="180"/>
      <c r="W31" s="178">
        <v>2.7440000000000002</v>
      </c>
      <c r="X31" s="179"/>
      <c r="Y31" s="179"/>
      <c r="Z31" s="179"/>
      <c r="AA31" s="180"/>
      <c r="AB31" s="178">
        <v>2.2850000000000001</v>
      </c>
      <c r="AC31" s="179"/>
      <c r="AD31" s="179"/>
      <c r="AE31" s="179"/>
      <c r="AF31" s="181"/>
      <c r="AG31" s="22"/>
    </row>
    <row r="32" spans="2:33" ht="16.95" customHeight="1" x14ac:dyDescent="0.3">
      <c r="B32" s="21"/>
      <c r="E32" s="87"/>
      <c r="F32" s="88"/>
      <c r="G32" s="88"/>
      <c r="H32" s="88"/>
      <c r="I32" s="159" t="s">
        <v>21</v>
      </c>
      <c r="J32" s="159"/>
      <c r="K32" s="159"/>
      <c r="L32" s="159"/>
      <c r="M32" s="160">
        <f>IFERROR(((M31-M30)/M30),0)</f>
        <v>1.1968043259071208E-2</v>
      </c>
      <c r="N32" s="160"/>
      <c r="O32" s="160"/>
      <c r="P32" s="160"/>
      <c r="Q32" s="160"/>
      <c r="R32" s="160">
        <f t="shared" ref="R32" si="9">IFERROR(((R31-R30)/R30),0)</f>
        <v>5.137939643166319E-3</v>
      </c>
      <c r="S32" s="160"/>
      <c r="T32" s="160"/>
      <c r="U32" s="160"/>
      <c r="V32" s="160"/>
      <c r="W32" s="160">
        <f t="shared" ref="W32" si="10">IFERROR(((W31-W30)/W30),0)</f>
        <v>6.9370878657493921E-3</v>
      </c>
      <c r="X32" s="160"/>
      <c r="Y32" s="160"/>
      <c r="Z32" s="160"/>
      <c r="AA32" s="160"/>
      <c r="AB32" s="160">
        <f>IFERROR(((AB31-AB30)/AB30),0)</f>
        <v>7.1868916928602552E-3</v>
      </c>
      <c r="AC32" s="160"/>
      <c r="AD32" s="160"/>
      <c r="AE32" s="160"/>
      <c r="AF32" s="161"/>
      <c r="AG32" s="22"/>
    </row>
    <row r="33" spans="2:33" ht="16.95" customHeight="1" x14ac:dyDescent="0.3">
      <c r="B33" s="21"/>
      <c r="E33" s="87" t="s">
        <v>140</v>
      </c>
      <c r="F33" s="88"/>
      <c r="G33" s="88"/>
      <c r="H33" s="88"/>
      <c r="I33" s="159" t="s">
        <v>137</v>
      </c>
      <c r="J33" s="159"/>
      <c r="K33" s="159"/>
      <c r="L33" s="159"/>
      <c r="M33" s="176">
        <f>1.5*$L$9</f>
        <v>1.3800000000000001</v>
      </c>
      <c r="N33" s="176"/>
      <c r="O33" s="176"/>
      <c r="P33" s="176"/>
      <c r="Q33" s="176"/>
      <c r="R33" s="176">
        <f>2*$L$9</f>
        <v>1.84</v>
      </c>
      <c r="S33" s="176"/>
      <c r="T33" s="176"/>
      <c r="U33" s="176"/>
      <c r="V33" s="176"/>
      <c r="W33" s="176">
        <f>2.5*$L$9</f>
        <v>2.3000000000000003</v>
      </c>
      <c r="X33" s="176"/>
      <c r="Y33" s="176"/>
      <c r="Z33" s="176"/>
      <c r="AA33" s="176"/>
      <c r="AB33" s="176">
        <f>3*$L$9</f>
        <v>2.7600000000000002</v>
      </c>
      <c r="AC33" s="176"/>
      <c r="AD33" s="176"/>
      <c r="AE33" s="176"/>
      <c r="AF33" s="177"/>
      <c r="AG33" s="27">
        <f>COUNTIF(L33:AF33,1)</f>
        <v>0</v>
      </c>
    </row>
    <row r="34" spans="2:33" ht="16.95" customHeight="1" x14ac:dyDescent="0.3">
      <c r="B34" s="21"/>
      <c r="E34" s="87"/>
      <c r="F34" s="88"/>
      <c r="G34" s="88"/>
      <c r="H34" s="88"/>
      <c r="I34" s="159" t="s">
        <v>138</v>
      </c>
      <c r="J34" s="159"/>
      <c r="K34" s="159"/>
      <c r="L34" s="159"/>
      <c r="M34" s="176">
        <f>0.14*$L$10/(((M33/$L$9)^0.02)-1)</f>
        <v>6.1899187842203141</v>
      </c>
      <c r="N34" s="176"/>
      <c r="O34" s="176"/>
      <c r="P34" s="176"/>
      <c r="Q34" s="176"/>
      <c r="R34" s="176">
        <f t="shared" ref="R34" si="11">0.14*$L$10/(((R33/$L$9)^0.02)-1)</f>
        <v>3.6104497272168734</v>
      </c>
      <c r="S34" s="176"/>
      <c r="T34" s="176"/>
      <c r="U34" s="176"/>
      <c r="V34" s="176"/>
      <c r="W34" s="176">
        <f t="shared" ref="W34" si="12">0.14*$L$10/(((W33/$L$9)^0.02)-1)</f>
        <v>2.7250957711926547</v>
      </c>
      <c r="X34" s="176"/>
      <c r="Y34" s="176"/>
      <c r="Z34" s="176"/>
      <c r="AA34" s="176"/>
      <c r="AB34" s="176">
        <f t="shared" ref="AB34" si="13">0.14*$L$10/(((AB33/$L$9)^0.02)-1)</f>
        <v>2.2686951337893371</v>
      </c>
      <c r="AC34" s="176"/>
      <c r="AD34" s="176"/>
      <c r="AE34" s="176"/>
      <c r="AF34" s="177"/>
      <c r="AG34" s="27"/>
    </row>
    <row r="35" spans="2:33" ht="16.95" customHeight="1" x14ac:dyDescent="0.3">
      <c r="B35" s="21"/>
      <c r="E35" s="87"/>
      <c r="F35" s="88"/>
      <c r="G35" s="88"/>
      <c r="H35" s="88"/>
      <c r="I35" s="159" t="s">
        <v>139</v>
      </c>
      <c r="J35" s="159"/>
      <c r="K35" s="159"/>
      <c r="L35" s="159"/>
      <c r="M35" s="178">
        <v>6.2640000000000002</v>
      </c>
      <c r="N35" s="179"/>
      <c r="O35" s="179"/>
      <c r="P35" s="179"/>
      <c r="Q35" s="180"/>
      <c r="R35" s="178">
        <v>3.6269999999999998</v>
      </c>
      <c r="S35" s="179"/>
      <c r="T35" s="179"/>
      <c r="U35" s="179"/>
      <c r="V35" s="180"/>
      <c r="W35" s="178">
        <v>2.7429999999999999</v>
      </c>
      <c r="X35" s="179"/>
      <c r="Y35" s="179"/>
      <c r="Z35" s="179"/>
      <c r="AA35" s="180"/>
      <c r="AB35" s="178">
        <v>2.2810000000000001</v>
      </c>
      <c r="AC35" s="179"/>
      <c r="AD35" s="179"/>
      <c r="AE35" s="179"/>
      <c r="AF35" s="181"/>
      <c r="AG35" s="27"/>
    </row>
    <row r="36" spans="2:33" ht="16.95" customHeight="1" x14ac:dyDescent="0.3">
      <c r="B36" s="21"/>
      <c r="E36" s="87"/>
      <c r="F36" s="88"/>
      <c r="G36" s="88"/>
      <c r="H36" s="88"/>
      <c r="I36" s="159" t="s">
        <v>21</v>
      </c>
      <c r="J36" s="159"/>
      <c r="K36" s="159"/>
      <c r="L36" s="159"/>
      <c r="M36" s="160">
        <f>IFERROR(((M35-M34)/M34),0)</f>
        <v>1.1968043259071208E-2</v>
      </c>
      <c r="N36" s="160"/>
      <c r="O36" s="160"/>
      <c r="P36" s="160"/>
      <c r="Q36" s="160"/>
      <c r="R36" s="160">
        <f t="shared" ref="R36" si="14">IFERROR(((R35-R34)/R34),0)</f>
        <v>4.5839920324508175E-3</v>
      </c>
      <c r="S36" s="160"/>
      <c r="T36" s="160"/>
      <c r="U36" s="160"/>
      <c r="V36" s="160"/>
      <c r="W36" s="160">
        <f t="shared" ref="W36" si="15">IFERROR(((W35-W34)/W34),0)</f>
        <v>6.5701282856232678E-3</v>
      </c>
      <c r="X36" s="160"/>
      <c r="Y36" s="160"/>
      <c r="Z36" s="160"/>
      <c r="AA36" s="160"/>
      <c r="AB36" s="160">
        <f>IFERROR(((AB35-AB34)/AB34),0)</f>
        <v>5.4237636548858815E-3</v>
      </c>
      <c r="AC36" s="160"/>
      <c r="AD36" s="160"/>
      <c r="AE36" s="160"/>
      <c r="AF36" s="161"/>
      <c r="AG36" s="27"/>
    </row>
    <row r="37" spans="2:33" ht="16.95" customHeight="1" x14ac:dyDescent="0.3">
      <c r="B37" s="21"/>
      <c r="E37" s="87" t="s">
        <v>141</v>
      </c>
      <c r="F37" s="88"/>
      <c r="G37" s="88"/>
      <c r="H37" s="88"/>
      <c r="I37" s="159" t="s">
        <v>137</v>
      </c>
      <c r="J37" s="159"/>
      <c r="K37" s="159"/>
      <c r="L37" s="159"/>
      <c r="M37" s="176">
        <f>1.5*$L$9</f>
        <v>1.3800000000000001</v>
      </c>
      <c r="N37" s="176"/>
      <c r="O37" s="176"/>
      <c r="P37" s="176"/>
      <c r="Q37" s="176"/>
      <c r="R37" s="176">
        <f>2*$L$9</f>
        <v>1.84</v>
      </c>
      <c r="S37" s="176"/>
      <c r="T37" s="176"/>
      <c r="U37" s="176"/>
      <c r="V37" s="176"/>
      <c r="W37" s="176">
        <f>2.5*$L$9</f>
        <v>2.3000000000000003</v>
      </c>
      <c r="X37" s="176"/>
      <c r="Y37" s="176"/>
      <c r="Z37" s="176"/>
      <c r="AA37" s="176"/>
      <c r="AB37" s="176">
        <f>3*$L$9</f>
        <v>2.7600000000000002</v>
      </c>
      <c r="AC37" s="176"/>
      <c r="AD37" s="176"/>
      <c r="AE37" s="176"/>
      <c r="AF37" s="177"/>
      <c r="AG37" s="27"/>
    </row>
    <row r="38" spans="2:33" ht="16.95" customHeight="1" x14ac:dyDescent="0.3">
      <c r="B38" s="21"/>
      <c r="E38" s="87"/>
      <c r="F38" s="88"/>
      <c r="G38" s="88"/>
      <c r="H38" s="88"/>
      <c r="I38" s="159" t="s">
        <v>138</v>
      </c>
      <c r="J38" s="159"/>
      <c r="K38" s="159"/>
      <c r="L38" s="159"/>
      <c r="M38" s="176">
        <f>0.14*$L$10/(((M37/$L$9)^0.02)-1)</f>
        <v>6.1899187842203141</v>
      </c>
      <c r="N38" s="176"/>
      <c r="O38" s="176"/>
      <c r="P38" s="176"/>
      <c r="Q38" s="176"/>
      <c r="R38" s="176">
        <f t="shared" ref="R38" si="16">0.14*$L$10/(((R37/$L$9)^0.02)-1)</f>
        <v>3.6104497272168734</v>
      </c>
      <c r="S38" s="176"/>
      <c r="T38" s="176"/>
      <c r="U38" s="176"/>
      <c r="V38" s="176"/>
      <c r="W38" s="176">
        <f t="shared" ref="W38" si="17">0.14*$L$10/(((W37/$L$9)^0.02)-1)</f>
        <v>2.7250957711926547</v>
      </c>
      <c r="X38" s="176"/>
      <c r="Y38" s="176"/>
      <c r="Z38" s="176"/>
      <c r="AA38" s="176"/>
      <c r="AB38" s="176">
        <f t="shared" ref="AB38" si="18">0.14*$L$10/(((AB37/$L$9)^0.02)-1)</f>
        <v>2.2686951337893371</v>
      </c>
      <c r="AC38" s="176"/>
      <c r="AD38" s="176"/>
      <c r="AE38" s="176"/>
      <c r="AF38" s="177"/>
      <c r="AG38" s="27"/>
    </row>
    <row r="39" spans="2:33" ht="16.95" customHeight="1" x14ac:dyDescent="0.3">
      <c r="B39" s="21"/>
      <c r="E39" s="87"/>
      <c r="F39" s="88"/>
      <c r="G39" s="88"/>
      <c r="H39" s="88"/>
      <c r="I39" s="159" t="s">
        <v>139</v>
      </c>
      <c r="J39" s="159"/>
      <c r="K39" s="159"/>
      <c r="L39" s="159"/>
      <c r="M39" s="167">
        <v>6.2629999999999999</v>
      </c>
      <c r="N39" s="168"/>
      <c r="O39" s="168"/>
      <c r="P39" s="168"/>
      <c r="Q39" s="168"/>
      <c r="R39" s="168">
        <v>3.63</v>
      </c>
      <c r="S39" s="168"/>
      <c r="T39" s="168"/>
      <c r="U39" s="168"/>
      <c r="V39" s="168"/>
      <c r="W39" s="168">
        <v>2.7429999999999999</v>
      </c>
      <c r="X39" s="168"/>
      <c r="Y39" s="168"/>
      <c r="Z39" s="168"/>
      <c r="AA39" s="168"/>
      <c r="AB39" s="168">
        <v>2.2839999999999998</v>
      </c>
      <c r="AC39" s="168"/>
      <c r="AD39" s="168"/>
      <c r="AE39" s="168"/>
      <c r="AF39" s="169"/>
      <c r="AG39" s="27"/>
    </row>
    <row r="40" spans="2:33" ht="16.95" customHeight="1" x14ac:dyDescent="0.3">
      <c r="B40" s="21"/>
      <c r="E40" s="87"/>
      <c r="F40" s="88"/>
      <c r="G40" s="88"/>
      <c r="H40" s="88"/>
      <c r="I40" s="159" t="s">
        <v>21</v>
      </c>
      <c r="J40" s="159"/>
      <c r="K40" s="159"/>
      <c r="L40" s="159"/>
      <c r="M40" s="160">
        <f>IFERROR(((M39-M38)/M38),0)</f>
        <v>1.1806490250888034E-2</v>
      </c>
      <c r="N40" s="160"/>
      <c r="O40" s="160"/>
      <c r="P40" s="160"/>
      <c r="Q40" s="160"/>
      <c r="R40" s="160">
        <f t="shared" ref="R40" si="19">IFERROR(((R39-R38)/R38),0)</f>
        <v>5.4149134485240091E-3</v>
      </c>
      <c r="S40" s="160"/>
      <c r="T40" s="160"/>
      <c r="U40" s="160"/>
      <c r="V40" s="160"/>
      <c r="W40" s="160">
        <f t="shared" ref="W40" si="20">IFERROR(((W39-W38)/W38),0)</f>
        <v>6.5701282856232678E-3</v>
      </c>
      <c r="X40" s="160"/>
      <c r="Y40" s="160"/>
      <c r="Z40" s="160"/>
      <c r="AA40" s="160"/>
      <c r="AB40" s="160">
        <f>IFERROR(((AB39-AB38)/AB38),0)</f>
        <v>6.7461096833665146E-3</v>
      </c>
      <c r="AC40" s="160"/>
      <c r="AD40" s="160"/>
      <c r="AE40" s="160"/>
      <c r="AF40" s="161"/>
      <c r="AG40" s="27"/>
    </row>
    <row r="41" spans="2:33" ht="16.95" customHeight="1" x14ac:dyDescent="0.3">
      <c r="B41" s="21"/>
      <c r="E41" s="87" t="s">
        <v>124</v>
      </c>
      <c r="F41" s="88"/>
      <c r="G41" s="88"/>
      <c r="H41" s="88"/>
      <c r="I41" s="159" t="s">
        <v>137</v>
      </c>
      <c r="J41" s="159"/>
      <c r="K41" s="159"/>
      <c r="L41" s="159"/>
      <c r="M41" s="176">
        <f>1.5*$L$11</f>
        <v>0.57750000000000001</v>
      </c>
      <c r="N41" s="176"/>
      <c r="O41" s="176"/>
      <c r="P41" s="176"/>
      <c r="Q41" s="176"/>
      <c r="R41" s="176">
        <f>2*$L$11</f>
        <v>0.77</v>
      </c>
      <c r="S41" s="176"/>
      <c r="T41" s="176"/>
      <c r="U41" s="176"/>
      <c r="V41" s="176"/>
      <c r="W41" s="176">
        <f>2.5*$L$11</f>
        <v>0.96250000000000002</v>
      </c>
      <c r="X41" s="176"/>
      <c r="Y41" s="176"/>
      <c r="Z41" s="176"/>
      <c r="AA41" s="176"/>
      <c r="AB41" s="176">
        <f>3*$L$11</f>
        <v>1.155</v>
      </c>
      <c r="AC41" s="176"/>
      <c r="AD41" s="176"/>
      <c r="AE41" s="176"/>
      <c r="AF41" s="177"/>
      <c r="AG41" s="27">
        <f>COUNTIF(L41:AF41,1)</f>
        <v>0</v>
      </c>
    </row>
    <row r="42" spans="2:33" ht="16.95" customHeight="1" x14ac:dyDescent="0.3">
      <c r="B42" s="21"/>
      <c r="E42" s="87"/>
      <c r="F42" s="88"/>
      <c r="G42" s="88"/>
      <c r="H42" s="88"/>
      <c r="I42" s="159" t="s">
        <v>138</v>
      </c>
      <c r="J42" s="159"/>
      <c r="K42" s="159"/>
      <c r="L42" s="159"/>
      <c r="M42" s="176">
        <f>0.14*$L$12/(((M41/$L$11)^0.02)-1)</f>
        <v>10.144589118583294</v>
      </c>
      <c r="N42" s="176"/>
      <c r="O42" s="176"/>
      <c r="P42" s="176"/>
      <c r="Q42" s="176"/>
      <c r="R42" s="176">
        <f t="shared" ref="R42" si="21">0.14*$L$12/(((R41/$L$11)^0.02)-1)</f>
        <v>5.9171259418276536</v>
      </c>
      <c r="S42" s="176"/>
      <c r="T42" s="176"/>
      <c r="U42" s="176"/>
      <c r="V42" s="176"/>
      <c r="W42" s="176">
        <f t="shared" ref="W42" si="22">0.14*$L$12/(((W41/$L$11)^0.02)-1)</f>
        <v>4.4661291805657397</v>
      </c>
      <c r="X42" s="176"/>
      <c r="Y42" s="176"/>
      <c r="Z42" s="176"/>
      <c r="AA42" s="176"/>
      <c r="AB42" s="176">
        <f t="shared" ref="AB42" si="23">0.14*$L$12/(((AB41/$L$11)^0.02)-1)</f>
        <v>3.7181392470436361</v>
      </c>
      <c r="AC42" s="176"/>
      <c r="AD42" s="176"/>
      <c r="AE42" s="176"/>
      <c r="AF42" s="177"/>
      <c r="AG42" s="27"/>
    </row>
    <row r="43" spans="2:33" ht="16.95" customHeight="1" x14ac:dyDescent="0.3">
      <c r="B43" s="21"/>
      <c r="E43" s="87"/>
      <c r="F43" s="88"/>
      <c r="G43" s="88"/>
      <c r="H43" s="88"/>
      <c r="I43" s="159" t="s">
        <v>139</v>
      </c>
      <c r="J43" s="159"/>
      <c r="K43" s="159"/>
      <c r="L43" s="159"/>
      <c r="M43" s="167">
        <v>10.525</v>
      </c>
      <c r="N43" s="168"/>
      <c r="O43" s="168"/>
      <c r="P43" s="168"/>
      <c r="Q43" s="168"/>
      <c r="R43" s="168">
        <v>6.05</v>
      </c>
      <c r="S43" s="168"/>
      <c r="T43" s="168"/>
      <c r="U43" s="168"/>
      <c r="V43" s="168"/>
      <c r="W43" s="168">
        <v>4.5389999999999997</v>
      </c>
      <c r="X43" s="168"/>
      <c r="Y43" s="168"/>
      <c r="Z43" s="168"/>
      <c r="AA43" s="168"/>
      <c r="AB43" s="168">
        <v>3.7789999999999999</v>
      </c>
      <c r="AC43" s="168"/>
      <c r="AD43" s="168"/>
      <c r="AE43" s="168"/>
      <c r="AF43" s="169"/>
      <c r="AG43" s="27"/>
    </row>
    <row r="44" spans="2:33" ht="16.95" customHeight="1" x14ac:dyDescent="0.3">
      <c r="B44" s="21"/>
      <c r="E44" s="87"/>
      <c r="F44" s="88"/>
      <c r="G44" s="88"/>
      <c r="H44" s="88"/>
      <c r="I44" s="159" t="s">
        <v>21</v>
      </c>
      <c r="J44" s="159"/>
      <c r="K44" s="159"/>
      <c r="L44" s="159"/>
      <c r="M44" s="160">
        <f>IFERROR(((M43-M42)/M42),0)</f>
        <v>3.749889492516293E-2</v>
      </c>
      <c r="N44" s="160"/>
      <c r="O44" s="160"/>
      <c r="P44" s="160"/>
      <c r="Q44" s="160"/>
      <c r="R44" s="160">
        <f t="shared" ref="R44" si="24">IFERROR(((R43-R42)/R42),0)</f>
        <v>2.2455844184939674E-2</v>
      </c>
      <c r="S44" s="160"/>
      <c r="T44" s="160"/>
      <c r="U44" s="160"/>
      <c r="V44" s="160"/>
      <c r="W44" s="160">
        <f t="shared" ref="W44" si="25">IFERROR(((W43-W42)/W42),0)</f>
        <v>1.6316325947613813E-2</v>
      </c>
      <c r="X44" s="160"/>
      <c r="Y44" s="160"/>
      <c r="Z44" s="160"/>
      <c r="AA44" s="160"/>
      <c r="AB44" s="160">
        <f>IFERROR(((AB43-AB42)/AB42),0)</f>
        <v>1.6368605077057129E-2</v>
      </c>
      <c r="AC44" s="160"/>
      <c r="AD44" s="160"/>
      <c r="AE44" s="160"/>
      <c r="AF44" s="161"/>
      <c r="AG44" s="27"/>
    </row>
    <row r="45" spans="2:33" ht="16.95" customHeight="1" x14ac:dyDescent="0.3">
      <c r="B45" s="21"/>
      <c r="E45" s="87" t="s">
        <v>142</v>
      </c>
      <c r="F45" s="88"/>
      <c r="G45" s="88"/>
      <c r="H45" s="88"/>
      <c r="I45" s="88"/>
      <c r="J45" s="88"/>
      <c r="K45" s="88"/>
      <c r="L45" s="88"/>
      <c r="M45" s="160">
        <f>MAX(ABS(M32),ABS(M36),ABS(M40),ABS(M44))</f>
        <v>3.749889492516293E-2</v>
      </c>
      <c r="N45" s="160"/>
      <c r="O45" s="160"/>
      <c r="P45" s="160"/>
      <c r="Q45" s="160"/>
      <c r="R45" s="160">
        <f t="shared" ref="R45" si="26">MAX(ABS(R32),ABS(R36),ABS(R40),ABS(R44))</f>
        <v>2.2455844184939674E-2</v>
      </c>
      <c r="S45" s="160"/>
      <c r="T45" s="160"/>
      <c r="U45" s="160"/>
      <c r="V45" s="160"/>
      <c r="W45" s="160">
        <f t="shared" ref="W45" si="27">MAX(ABS(W32),ABS(W36),ABS(W40),ABS(W44))</f>
        <v>1.6316325947613813E-2</v>
      </c>
      <c r="X45" s="160"/>
      <c r="Y45" s="160"/>
      <c r="Z45" s="160"/>
      <c r="AA45" s="160"/>
      <c r="AB45" s="160">
        <f t="shared" ref="AB45" si="28">MAX(ABS(AB32),ABS(AB36),ABS(AB40),ABS(AB44))</f>
        <v>1.6368605077057129E-2</v>
      </c>
      <c r="AC45" s="160"/>
      <c r="AD45" s="160"/>
      <c r="AE45" s="160"/>
      <c r="AF45" s="161"/>
      <c r="AG45" s="27"/>
    </row>
    <row r="46" spans="2:33" ht="16.95" customHeight="1" thickBot="1" x14ac:dyDescent="0.35">
      <c r="B46" s="21"/>
      <c r="E46" s="79" t="s">
        <v>143</v>
      </c>
      <c r="F46" s="80"/>
      <c r="G46" s="80"/>
      <c r="H46" s="80"/>
      <c r="I46" s="80"/>
      <c r="J46" s="80"/>
      <c r="K46" s="80"/>
      <c r="L46" s="80"/>
      <c r="M46" s="166">
        <f>IF((ABS(M45)&lt;=0.05),9,IF((ABS(M45)&lt;=0.1),6,1))</f>
        <v>9</v>
      </c>
      <c r="N46" s="166"/>
      <c r="O46" s="166"/>
      <c r="P46" s="166"/>
      <c r="Q46" s="166"/>
      <c r="R46" s="166">
        <f t="shared" ref="R46" si="29">IF((ABS(R45)&lt;=0.05),9,IF((ABS(R45)&lt;=0.1),6,1))</f>
        <v>9</v>
      </c>
      <c r="S46" s="166"/>
      <c r="T46" s="166"/>
      <c r="U46" s="166"/>
      <c r="V46" s="166"/>
      <c r="W46" s="166">
        <f t="shared" ref="W46" si="30">IF((ABS(W45)&lt;=0.05),9,IF((ABS(W45)&lt;=0.1),6,1))</f>
        <v>9</v>
      </c>
      <c r="X46" s="166"/>
      <c r="Y46" s="166"/>
      <c r="Z46" s="166"/>
      <c r="AA46" s="166"/>
      <c r="AB46" s="166">
        <f t="shared" ref="AB46" si="31">IF((ABS(AB45)&lt;=0.05),9,IF((ABS(AB45)&lt;=0.1),6,1))</f>
        <v>9</v>
      </c>
      <c r="AC46" s="166"/>
      <c r="AD46" s="166"/>
      <c r="AE46" s="166"/>
      <c r="AF46" s="182"/>
      <c r="AG46" s="27"/>
    </row>
    <row r="47" spans="2:33" ht="16.95" customHeight="1" x14ac:dyDescent="0.3">
      <c r="B47" s="21"/>
      <c r="AG47" s="22"/>
    </row>
    <row r="48" spans="2:33" ht="16.95" customHeight="1" x14ac:dyDescent="0.3">
      <c r="B48" s="21"/>
      <c r="E48" s="75" t="s">
        <v>144</v>
      </c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7"/>
      <c r="S48" s="170">
        <f>MIN(M46:AF46)</f>
        <v>9</v>
      </c>
      <c r="T48" s="58"/>
      <c r="U48" s="58"/>
      <c r="V48" s="58"/>
      <c r="AG48" s="22"/>
    </row>
    <row r="49" spans="2:36" ht="16.95" customHeight="1" x14ac:dyDescent="0.3">
      <c r="B49" s="21"/>
      <c r="AG49" s="22"/>
    </row>
    <row r="50" spans="2:36" ht="16.95" customHeight="1" x14ac:dyDescent="0.3">
      <c r="B50" s="21"/>
      <c r="C50" s="14" t="s">
        <v>33</v>
      </c>
      <c r="D50" s="14"/>
      <c r="E50" s="14" t="s">
        <v>161</v>
      </c>
      <c r="AG50" s="22"/>
      <c r="AJ50"/>
    </row>
    <row r="51" spans="2:36" ht="16.95" customHeight="1" thickBot="1" x14ac:dyDescent="0.35">
      <c r="B51" s="21"/>
      <c r="AG51" s="22"/>
    </row>
    <row r="52" spans="2:36" ht="37.200000000000003" customHeight="1" thickBot="1" x14ac:dyDescent="0.35">
      <c r="B52" s="21"/>
      <c r="E52" s="102" t="s">
        <v>3</v>
      </c>
      <c r="F52" s="103"/>
      <c r="G52" s="104" t="s">
        <v>13</v>
      </c>
      <c r="H52" s="104"/>
      <c r="I52" s="104"/>
      <c r="J52" s="92" t="s">
        <v>4</v>
      </c>
      <c r="K52" s="92"/>
      <c r="L52" s="92"/>
      <c r="M52" s="92"/>
      <c r="N52" s="92" t="s">
        <v>5</v>
      </c>
      <c r="O52" s="92"/>
      <c r="P52" s="92"/>
      <c r="Q52" s="105"/>
      <c r="R52" s="106" t="s">
        <v>11</v>
      </c>
      <c r="S52" s="106"/>
      <c r="T52" s="106"/>
      <c r="U52" s="106"/>
      <c r="V52" s="106" t="s">
        <v>8</v>
      </c>
      <c r="W52" s="106"/>
      <c r="X52" s="106"/>
      <c r="Y52" s="106"/>
      <c r="Z52" s="91" t="s">
        <v>6</v>
      </c>
      <c r="AA52" s="92"/>
      <c r="AB52" s="92"/>
      <c r="AC52" s="92"/>
      <c r="AD52" s="92"/>
      <c r="AE52" s="92"/>
      <c r="AF52" s="93"/>
      <c r="AG52" s="22"/>
    </row>
    <row r="53" spans="2:36" ht="16.95" customHeight="1" thickBot="1" x14ac:dyDescent="0.35">
      <c r="B53" s="21"/>
      <c r="E53" s="183">
        <v>1</v>
      </c>
      <c r="F53" s="184"/>
      <c r="G53" s="184" t="s">
        <v>153</v>
      </c>
      <c r="H53" s="184"/>
      <c r="I53" s="184"/>
      <c r="J53" s="185">
        <v>7.6</v>
      </c>
      <c r="K53" s="186"/>
      <c r="L53" s="186"/>
      <c r="M53" s="186"/>
      <c r="N53" s="186">
        <v>7.6</v>
      </c>
      <c r="O53" s="186"/>
      <c r="P53" s="186"/>
      <c r="Q53" s="186"/>
      <c r="R53" s="187">
        <f>IFERROR(((N53-J53)/J53),0)</f>
        <v>0</v>
      </c>
      <c r="S53" s="187"/>
      <c r="T53" s="187"/>
      <c r="U53" s="187"/>
      <c r="V53" s="188">
        <f>IF((ABS(R53)&lt;=0.05),9,IF((ABS(R53)&lt;=0.1),6,1))</f>
        <v>9</v>
      </c>
      <c r="W53" s="188"/>
      <c r="X53" s="188">
        <f>(P53-J53)/J53</f>
        <v>-1</v>
      </c>
      <c r="Y53" s="188"/>
      <c r="Z53" s="185" t="s">
        <v>263</v>
      </c>
      <c r="AA53" s="186"/>
      <c r="AB53" s="186"/>
      <c r="AC53" s="186"/>
      <c r="AD53" s="186"/>
      <c r="AE53" s="186"/>
      <c r="AF53" s="189"/>
      <c r="AG53" s="22"/>
    </row>
    <row r="54" spans="2:36" ht="16.95" customHeight="1" x14ac:dyDescent="0.3">
      <c r="B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G54" s="22"/>
    </row>
    <row r="55" spans="2:36" ht="16.95" customHeight="1" x14ac:dyDescent="0.3">
      <c r="B55" s="21"/>
      <c r="E55" s="190" t="s">
        <v>155</v>
      </c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78">
        <f>V53</f>
        <v>9</v>
      </c>
      <c r="T55" s="78"/>
      <c r="U55" s="78"/>
      <c r="V55" s="78"/>
      <c r="AG55" s="22"/>
    </row>
    <row r="56" spans="2:36" ht="16.95" customHeight="1" x14ac:dyDescent="0.3">
      <c r="B56" s="21"/>
      <c r="AG56" s="22"/>
    </row>
    <row r="57" spans="2:36" ht="16.95" customHeight="1" x14ac:dyDescent="0.3">
      <c r="B57" s="21"/>
      <c r="C57" s="14" t="s">
        <v>34</v>
      </c>
      <c r="D57" s="14"/>
      <c r="E57" s="14" t="s">
        <v>162</v>
      </c>
      <c r="AG57" s="22"/>
      <c r="AJ57"/>
    </row>
    <row r="58" spans="2:36" ht="16.95" customHeight="1" thickBot="1" x14ac:dyDescent="0.35">
      <c r="B58" s="21"/>
      <c r="AG58" s="22"/>
    </row>
    <row r="59" spans="2:36" ht="37.200000000000003" customHeight="1" thickBot="1" x14ac:dyDescent="0.35">
      <c r="B59" s="21"/>
      <c r="E59" s="102" t="s">
        <v>3</v>
      </c>
      <c r="F59" s="103"/>
      <c r="G59" s="104" t="s">
        <v>13</v>
      </c>
      <c r="H59" s="104"/>
      <c r="I59" s="104"/>
      <c r="J59" s="92" t="s">
        <v>199</v>
      </c>
      <c r="K59" s="92"/>
      <c r="L59" s="92"/>
      <c r="M59" s="92"/>
      <c r="N59" s="92" t="s">
        <v>198</v>
      </c>
      <c r="O59" s="92"/>
      <c r="P59" s="92"/>
      <c r="Q59" s="105"/>
      <c r="R59" s="106" t="s">
        <v>11</v>
      </c>
      <c r="S59" s="106"/>
      <c r="T59" s="106"/>
      <c r="U59" s="106"/>
      <c r="V59" s="106" t="s">
        <v>8</v>
      </c>
      <c r="W59" s="106"/>
      <c r="X59" s="106"/>
      <c r="Y59" s="106"/>
      <c r="Z59" s="91" t="s">
        <v>6</v>
      </c>
      <c r="AA59" s="92"/>
      <c r="AB59" s="92"/>
      <c r="AC59" s="92"/>
      <c r="AD59" s="92"/>
      <c r="AE59" s="92"/>
      <c r="AF59" s="93"/>
      <c r="AG59" s="22"/>
    </row>
    <row r="60" spans="2:36" ht="16.95" customHeight="1" thickBot="1" x14ac:dyDescent="0.35">
      <c r="B60" s="21"/>
      <c r="E60" s="183">
        <v>1</v>
      </c>
      <c r="F60" s="184"/>
      <c r="G60" s="184" t="s">
        <v>153</v>
      </c>
      <c r="H60" s="184"/>
      <c r="I60" s="184"/>
      <c r="J60" s="185">
        <v>0.04</v>
      </c>
      <c r="K60" s="186"/>
      <c r="L60" s="186"/>
      <c r="M60" s="186"/>
      <c r="N60" s="186">
        <v>6.2E-2</v>
      </c>
      <c r="O60" s="186"/>
      <c r="P60" s="186"/>
      <c r="Q60" s="186"/>
      <c r="R60" s="187">
        <f>IFERROR(((N60-J60)),0)</f>
        <v>2.1999999999999999E-2</v>
      </c>
      <c r="S60" s="187"/>
      <c r="T60" s="187"/>
      <c r="U60" s="187"/>
      <c r="V60" s="188">
        <f>IF((ABS(R60)&lt;=0.05),9,IF((ABS(R60)&lt;=0.1),6,1))</f>
        <v>9</v>
      </c>
      <c r="W60" s="188"/>
      <c r="X60" s="188">
        <f>(P60-J60)/J60</f>
        <v>-1</v>
      </c>
      <c r="Y60" s="188"/>
      <c r="Z60" s="185" t="s">
        <v>263</v>
      </c>
      <c r="AA60" s="186"/>
      <c r="AB60" s="186"/>
      <c r="AC60" s="186"/>
      <c r="AD60" s="186"/>
      <c r="AE60" s="186"/>
      <c r="AF60" s="189"/>
      <c r="AG60" s="22"/>
    </row>
    <row r="61" spans="2:36" ht="16.95" customHeight="1" x14ac:dyDescent="0.3">
      <c r="B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G61" s="22"/>
    </row>
    <row r="62" spans="2:36" ht="16.95" customHeight="1" x14ac:dyDescent="0.3">
      <c r="B62" s="21"/>
      <c r="E62" s="190" t="s">
        <v>163</v>
      </c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78">
        <f>V60</f>
        <v>9</v>
      </c>
      <c r="T62" s="78"/>
      <c r="U62" s="78"/>
      <c r="V62" s="78"/>
      <c r="AG62" s="22"/>
    </row>
    <row r="63" spans="2:36" ht="16.95" customHeight="1" x14ac:dyDescent="0.3">
      <c r="B63" s="21"/>
      <c r="AG63" s="22"/>
    </row>
    <row r="64" spans="2:36" ht="16.95" customHeight="1" x14ac:dyDescent="0.3">
      <c r="B64" s="21"/>
      <c r="C64" s="14" t="s">
        <v>35</v>
      </c>
      <c r="D64" s="14"/>
      <c r="E64" s="14" t="s">
        <v>15</v>
      </c>
      <c r="AG64" s="22"/>
    </row>
    <row r="65" spans="2:33" ht="16.95" customHeight="1" x14ac:dyDescent="0.3">
      <c r="B65" s="21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22"/>
    </row>
    <row r="66" spans="2:33" ht="16.95" customHeight="1" x14ac:dyDescent="0.3">
      <c r="B66" s="21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22"/>
    </row>
    <row r="67" spans="2:33" ht="16.95" customHeight="1" x14ac:dyDescent="0.3">
      <c r="B67" s="21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22"/>
    </row>
    <row r="68" spans="2:33" ht="16.95" customHeight="1" x14ac:dyDescent="0.3">
      <c r="B68" s="21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22"/>
    </row>
    <row r="69" spans="2:33" ht="16.95" customHeight="1" x14ac:dyDescent="0.3">
      <c r="B69" s="21"/>
      <c r="AG69" s="22"/>
    </row>
    <row r="70" spans="2:33" ht="16.95" customHeight="1" x14ac:dyDescent="0.3">
      <c r="B70" s="21"/>
      <c r="C70" s="14" t="s">
        <v>36</v>
      </c>
      <c r="D70" s="14"/>
      <c r="E70" s="14" t="s">
        <v>17</v>
      </c>
      <c r="F70" s="14"/>
      <c r="AG70" s="22"/>
    </row>
    <row r="71" spans="2:33" ht="16.95" customHeight="1" x14ac:dyDescent="0.3">
      <c r="B71" s="21"/>
      <c r="E71" s="75" t="s">
        <v>200</v>
      </c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7"/>
      <c r="S71" s="170">
        <f>MIN(S24,S48,S55,S62)</f>
        <v>6</v>
      </c>
      <c r="T71" s="58"/>
      <c r="U71" s="58"/>
      <c r="V71" s="58"/>
      <c r="AG71" s="22"/>
    </row>
    <row r="72" spans="2:33" ht="16.95" customHeight="1" thickBot="1" x14ac:dyDescent="0.35">
      <c r="B72" s="21"/>
      <c r="AG72" s="22"/>
    </row>
    <row r="73" spans="2:33" ht="16.95" customHeight="1" thickBot="1" x14ac:dyDescent="0.35">
      <c r="B73" s="21"/>
      <c r="C73" s="191" t="s">
        <v>18</v>
      </c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 t="s">
        <v>19</v>
      </c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8"/>
      <c r="AG73" s="22"/>
    </row>
    <row r="74" spans="2:33" ht="16.95" customHeight="1" x14ac:dyDescent="0.3">
      <c r="B74" s="21"/>
      <c r="C74" s="45">
        <v>1</v>
      </c>
      <c r="D74" s="143" t="s">
        <v>265</v>
      </c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22"/>
    </row>
    <row r="75" spans="2:33" ht="16.95" customHeight="1" x14ac:dyDescent="0.3">
      <c r="B75" s="21"/>
      <c r="C75" s="46">
        <v>2</v>
      </c>
      <c r="D75" s="57" t="s">
        <v>234</v>
      </c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154"/>
      <c r="AG75" s="22"/>
    </row>
    <row r="76" spans="2:33" ht="16.95" customHeight="1" x14ac:dyDescent="0.3">
      <c r="B76" s="21"/>
      <c r="C76" s="46">
        <v>3</v>
      </c>
      <c r="D76" s="57" t="s">
        <v>245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154"/>
      <c r="AG76" s="22"/>
    </row>
    <row r="77" spans="2:33" ht="16.95" customHeight="1" x14ac:dyDescent="0.3">
      <c r="B77" s="21"/>
      <c r="C77" s="46">
        <v>4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154"/>
      <c r="AG77" s="22"/>
    </row>
    <row r="78" spans="2:33" ht="16.95" customHeight="1" thickBot="1" x14ac:dyDescent="0.35">
      <c r="B78" s="21"/>
      <c r="C78" s="47">
        <v>5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 t="s">
        <v>266</v>
      </c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2"/>
      <c r="AG78" s="22"/>
    </row>
    <row r="79" spans="2:33" ht="16.95" customHeight="1" thickBot="1" x14ac:dyDescent="0.35">
      <c r="B79" s="2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6"/>
    </row>
  </sheetData>
  <sheetProtection algorithmName="SHA-512" hashValue="AYhLM5iO2NzDzt6XsizUSQcaKlRXmFXniSG2psW992U1S4cLiJiF3f/JSnqp3bR5IM9LqN8YbmWbXf6cbkI04w==" saltValue="Z/4dPur2h4u6wvknk8R0AA==" spinCount="100000" sheet="1" scenarios="1"/>
  <mergeCells count="207">
    <mergeCell ref="C73:Q73"/>
    <mergeCell ref="R73:AF73"/>
    <mergeCell ref="Z60:AF60"/>
    <mergeCell ref="E60:F60"/>
    <mergeCell ref="G60:I60"/>
    <mergeCell ref="J60:M60"/>
    <mergeCell ref="N60:Q60"/>
    <mergeCell ref="R60:U60"/>
    <mergeCell ref="V60:Y60"/>
    <mergeCell ref="S71:V71"/>
    <mergeCell ref="E71:R71"/>
    <mergeCell ref="E65:AF68"/>
    <mergeCell ref="D78:M78"/>
    <mergeCell ref="N78:Q78"/>
    <mergeCell ref="R78:AF78"/>
    <mergeCell ref="D74:M74"/>
    <mergeCell ref="N74:Q74"/>
    <mergeCell ref="R74:AF77"/>
    <mergeCell ref="D75:M75"/>
    <mergeCell ref="N75:Q75"/>
    <mergeCell ref="D76:M76"/>
    <mergeCell ref="N76:Q76"/>
    <mergeCell ref="D77:M77"/>
    <mergeCell ref="N77:Q77"/>
    <mergeCell ref="E59:F59"/>
    <mergeCell ref="G59:I59"/>
    <mergeCell ref="J59:M59"/>
    <mergeCell ref="N59:Q59"/>
    <mergeCell ref="R59:U59"/>
    <mergeCell ref="V59:Y59"/>
    <mergeCell ref="Z59:AF59"/>
    <mergeCell ref="E62:R62"/>
    <mergeCell ref="S62:V62"/>
    <mergeCell ref="E53:F53"/>
    <mergeCell ref="G53:I53"/>
    <mergeCell ref="J53:M53"/>
    <mergeCell ref="N53:Q53"/>
    <mergeCell ref="R53:U53"/>
    <mergeCell ref="V53:Y53"/>
    <mergeCell ref="Z53:AF53"/>
    <mergeCell ref="E55:R55"/>
    <mergeCell ref="S55:V55"/>
    <mergeCell ref="R42:V42"/>
    <mergeCell ref="W42:AA42"/>
    <mergeCell ref="AB42:AF42"/>
    <mergeCell ref="E52:F52"/>
    <mergeCell ref="G52:I52"/>
    <mergeCell ref="J52:M52"/>
    <mergeCell ref="N52:Q52"/>
    <mergeCell ref="R52:U52"/>
    <mergeCell ref="E45:L45"/>
    <mergeCell ref="M45:Q45"/>
    <mergeCell ref="R45:V45"/>
    <mergeCell ref="V52:Y52"/>
    <mergeCell ref="W45:AA45"/>
    <mergeCell ref="Z52:AF52"/>
    <mergeCell ref="S48:V48"/>
    <mergeCell ref="E48:R48"/>
    <mergeCell ref="I41:L41"/>
    <mergeCell ref="M41:Q41"/>
    <mergeCell ref="R41:V41"/>
    <mergeCell ref="W41:AA41"/>
    <mergeCell ref="AB45:AF45"/>
    <mergeCell ref="E46:L46"/>
    <mergeCell ref="M46:Q46"/>
    <mergeCell ref="R46:V46"/>
    <mergeCell ref="W46:AA46"/>
    <mergeCell ref="AB46:AF46"/>
    <mergeCell ref="I43:L43"/>
    <mergeCell ref="M43:Q43"/>
    <mergeCell ref="R43:V43"/>
    <mergeCell ref="W43:AA43"/>
    <mergeCell ref="AB43:AF43"/>
    <mergeCell ref="I44:L44"/>
    <mergeCell ref="M44:Q44"/>
    <mergeCell ref="R44:V44"/>
    <mergeCell ref="W44:AA44"/>
    <mergeCell ref="AB44:AF44"/>
    <mergeCell ref="E41:H44"/>
    <mergeCell ref="AB41:AF41"/>
    <mergeCell ref="I42:L42"/>
    <mergeCell ref="M42:Q42"/>
    <mergeCell ref="E37:H40"/>
    <mergeCell ref="I37:L37"/>
    <mergeCell ref="M37:Q37"/>
    <mergeCell ref="R37:V37"/>
    <mergeCell ref="W37:AA37"/>
    <mergeCell ref="AB37:AF37"/>
    <mergeCell ref="I38:L38"/>
    <mergeCell ref="M38:Q38"/>
    <mergeCell ref="R38:V38"/>
    <mergeCell ref="W38:AA38"/>
    <mergeCell ref="I40:L40"/>
    <mergeCell ref="M40:Q40"/>
    <mergeCell ref="R40:V40"/>
    <mergeCell ref="W40:AA40"/>
    <mergeCell ref="AB40:AF40"/>
    <mergeCell ref="I36:L36"/>
    <mergeCell ref="M36:Q36"/>
    <mergeCell ref="R36:V36"/>
    <mergeCell ref="W36:AA36"/>
    <mergeCell ref="AB36:AF36"/>
    <mergeCell ref="AB38:AF38"/>
    <mergeCell ref="I39:L39"/>
    <mergeCell ref="M39:Q39"/>
    <mergeCell ref="R39:V39"/>
    <mergeCell ref="W39:AA39"/>
    <mergeCell ref="AB39:AF39"/>
    <mergeCell ref="R34:V34"/>
    <mergeCell ref="W34:AA34"/>
    <mergeCell ref="AB34:AF34"/>
    <mergeCell ref="I32:L32"/>
    <mergeCell ref="M32:Q32"/>
    <mergeCell ref="R32:V32"/>
    <mergeCell ref="W32:AA32"/>
    <mergeCell ref="AB32:AF32"/>
    <mergeCell ref="I35:L35"/>
    <mergeCell ref="M35:Q35"/>
    <mergeCell ref="R35:V35"/>
    <mergeCell ref="W35:AA35"/>
    <mergeCell ref="AB35:AF35"/>
    <mergeCell ref="E29:H32"/>
    <mergeCell ref="I29:L29"/>
    <mergeCell ref="M29:Q29"/>
    <mergeCell ref="R29:V29"/>
    <mergeCell ref="W29:AA29"/>
    <mergeCell ref="AB29:AF29"/>
    <mergeCell ref="I30:L30"/>
    <mergeCell ref="M30:Q30"/>
    <mergeCell ref="E33:H36"/>
    <mergeCell ref="I33:L33"/>
    <mergeCell ref="M33:Q33"/>
    <mergeCell ref="R33:V33"/>
    <mergeCell ref="W33:AA33"/>
    <mergeCell ref="R30:V30"/>
    <mergeCell ref="W30:AA30"/>
    <mergeCell ref="AB30:AF30"/>
    <mergeCell ref="I31:L31"/>
    <mergeCell ref="M31:Q31"/>
    <mergeCell ref="R31:V31"/>
    <mergeCell ref="W31:AA31"/>
    <mergeCell ref="AB31:AF31"/>
    <mergeCell ref="AB33:AF33"/>
    <mergeCell ref="I34:L34"/>
    <mergeCell ref="M34:Q34"/>
    <mergeCell ref="E28:H28"/>
    <mergeCell ref="I28:L28"/>
    <mergeCell ref="M28:Q28"/>
    <mergeCell ref="R28:V28"/>
    <mergeCell ref="AB21:AF21"/>
    <mergeCell ref="I22:L22"/>
    <mergeCell ref="M22:Q22"/>
    <mergeCell ref="R22:V22"/>
    <mergeCell ref="W22:AA22"/>
    <mergeCell ref="AB22:AF22"/>
    <mergeCell ref="E20:H22"/>
    <mergeCell ref="I20:L20"/>
    <mergeCell ref="M20:Q20"/>
    <mergeCell ref="R20:V20"/>
    <mergeCell ref="W20:AA20"/>
    <mergeCell ref="AB20:AF20"/>
    <mergeCell ref="I21:L21"/>
    <mergeCell ref="M21:Q21"/>
    <mergeCell ref="R21:V21"/>
    <mergeCell ref="W21:AA21"/>
    <mergeCell ref="W28:AA28"/>
    <mergeCell ref="AB28:AF28"/>
    <mergeCell ref="S24:V24"/>
    <mergeCell ref="E24:R24"/>
    <mergeCell ref="AB16:AF16"/>
    <mergeCell ref="E17:H19"/>
    <mergeCell ref="I17:L17"/>
    <mergeCell ref="M17:Q17"/>
    <mergeCell ref="R17:V17"/>
    <mergeCell ref="W17:AA17"/>
    <mergeCell ref="AB17:AF17"/>
    <mergeCell ref="I18:L18"/>
    <mergeCell ref="M18:Q18"/>
    <mergeCell ref="R18:V18"/>
    <mergeCell ref="W18:AA18"/>
    <mergeCell ref="AB18:AF18"/>
    <mergeCell ref="I19:L19"/>
    <mergeCell ref="M19:Q19"/>
    <mergeCell ref="R19:V19"/>
    <mergeCell ref="W19:AA19"/>
    <mergeCell ref="AB19:AF19"/>
    <mergeCell ref="E16:H16"/>
    <mergeCell ref="I16:L16"/>
    <mergeCell ref="M16:Q16"/>
    <mergeCell ref="E4:F4"/>
    <mergeCell ref="H4:P4"/>
    <mergeCell ref="E5:F5"/>
    <mergeCell ref="H5:P5"/>
    <mergeCell ref="E9:J9"/>
    <mergeCell ref="L9:N9"/>
    <mergeCell ref="O9:P9"/>
    <mergeCell ref="R16:V16"/>
    <mergeCell ref="W16:AA16"/>
    <mergeCell ref="E12:J12"/>
    <mergeCell ref="L12:N12"/>
    <mergeCell ref="O12:P12"/>
    <mergeCell ref="E10:J10"/>
    <mergeCell ref="L10:N10"/>
    <mergeCell ref="O10:P10"/>
    <mergeCell ref="E11:J11"/>
    <mergeCell ref="L11:N11"/>
    <mergeCell ref="O11:P1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2" orientation="portrait" r:id="rId1"/>
  <rowBreaks count="1" manualBreakCount="1">
    <brk id="49" min="1" max="3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C9E4-3F61-485D-8C96-398DEF011E05}">
  <dimension ref="B1:AJ85"/>
  <sheetViews>
    <sheetView tabSelected="1" view="pageBreakPreview" topLeftCell="D59" zoomScale="90" zoomScaleNormal="100" zoomScaleSheetLayoutView="90" workbookViewId="0">
      <selection activeCell="AA14" sqref="AA14"/>
    </sheetView>
  </sheetViews>
  <sheetFormatPr defaultColWidth="8.88671875" defaultRowHeight="16.95" customHeight="1" x14ac:dyDescent="0.3"/>
  <cols>
    <col min="1" max="1" width="4.21875" style="1" customWidth="1"/>
    <col min="2" max="11" width="3.6640625" style="1" customWidth="1"/>
    <col min="12" max="12" width="6.33203125" style="1" customWidth="1"/>
    <col min="13" max="107" width="3.6640625" style="1" customWidth="1"/>
    <col min="108" max="16384" width="8.88671875" style="1"/>
  </cols>
  <sheetData>
    <row r="1" spans="2:33" ht="16.95" customHeight="1" thickBot="1" x14ac:dyDescent="0.35"/>
    <row r="2" spans="2:33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3" ht="16.95" customHeight="1" x14ac:dyDescent="0.3">
      <c r="B3" s="21"/>
      <c r="C3" s="5"/>
      <c r="D3" s="6"/>
      <c r="E3" s="42" t="s">
        <v>9</v>
      </c>
      <c r="F3" s="42"/>
      <c r="G3" s="4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2"/>
    </row>
    <row r="4" spans="2:33" ht="16.95" customHeight="1" x14ac:dyDescent="0.3">
      <c r="B4" s="21"/>
      <c r="C4" s="8"/>
      <c r="E4" s="128" t="s">
        <v>0</v>
      </c>
      <c r="F4" s="128"/>
      <c r="G4" s="14" t="s">
        <v>10</v>
      </c>
      <c r="H4" s="130" t="s">
        <v>228</v>
      </c>
      <c r="I4" s="130"/>
      <c r="J4" s="130"/>
      <c r="K4" s="130"/>
      <c r="L4" s="130"/>
      <c r="M4" s="130"/>
      <c r="N4" s="130"/>
      <c r="O4" s="130"/>
      <c r="P4" s="130"/>
      <c r="AF4" s="10"/>
      <c r="AG4" s="22"/>
    </row>
    <row r="5" spans="2:33" ht="16.95" customHeight="1" x14ac:dyDescent="0.3">
      <c r="B5" s="21"/>
      <c r="C5" s="11"/>
      <c r="D5" s="12"/>
      <c r="E5" s="129" t="s">
        <v>1</v>
      </c>
      <c r="F5" s="129"/>
      <c r="G5" s="43" t="s">
        <v>10</v>
      </c>
      <c r="H5" s="145" t="s">
        <v>228</v>
      </c>
      <c r="I5" s="145"/>
      <c r="J5" s="145"/>
      <c r="K5" s="145"/>
      <c r="L5" s="145"/>
      <c r="M5" s="145"/>
      <c r="N5" s="145"/>
      <c r="O5" s="145"/>
      <c r="P5" s="14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2"/>
    </row>
    <row r="6" spans="2:33" ht="16.95" customHeight="1" x14ac:dyDescent="0.3">
      <c r="B6" s="21"/>
      <c r="E6" s="9"/>
      <c r="F6" s="9"/>
      <c r="H6" s="2"/>
      <c r="I6" s="2"/>
      <c r="J6" s="2"/>
      <c r="K6" s="2"/>
      <c r="L6" s="2"/>
      <c r="M6" s="2"/>
      <c r="N6" s="2"/>
      <c r="O6" s="2"/>
      <c r="P6" s="2"/>
      <c r="AG6" s="22"/>
    </row>
    <row r="7" spans="2:33" ht="16.95" customHeight="1" x14ac:dyDescent="0.3">
      <c r="B7" s="21"/>
      <c r="C7" s="14">
        <v>3</v>
      </c>
      <c r="D7" s="14"/>
      <c r="E7" s="14" t="s">
        <v>150</v>
      </c>
      <c r="F7" s="9"/>
      <c r="H7" s="2"/>
      <c r="I7" s="2"/>
      <c r="J7" s="2"/>
      <c r="K7" s="2"/>
      <c r="L7" s="2"/>
      <c r="M7" s="2"/>
      <c r="N7" s="2"/>
      <c r="O7" s="2"/>
      <c r="P7" s="2"/>
      <c r="AG7" s="22"/>
    </row>
    <row r="8" spans="2:33" ht="16.95" customHeight="1" thickBot="1" x14ac:dyDescent="0.35">
      <c r="B8" s="21"/>
      <c r="C8" s="14"/>
      <c r="D8" s="14"/>
      <c r="E8" s="14"/>
      <c r="F8" s="9"/>
      <c r="H8" s="2"/>
      <c r="I8" s="2"/>
      <c r="J8" s="2"/>
      <c r="K8" s="2"/>
      <c r="L8" s="2"/>
      <c r="M8" s="2"/>
      <c r="N8" s="2"/>
      <c r="O8" s="2"/>
      <c r="P8" s="2"/>
      <c r="AG8" s="22"/>
    </row>
    <row r="9" spans="2:33" ht="16.95" customHeight="1" x14ac:dyDescent="0.3">
      <c r="B9" s="21"/>
      <c r="C9" s="14"/>
      <c r="D9" s="14"/>
      <c r="E9" s="146" t="s">
        <v>115</v>
      </c>
      <c r="F9" s="147"/>
      <c r="G9" s="147"/>
      <c r="H9" s="147"/>
      <c r="I9" s="147"/>
      <c r="J9" s="147"/>
      <c r="K9" s="48" t="s">
        <v>10</v>
      </c>
      <c r="L9" s="148">
        <v>5.2</v>
      </c>
      <c r="M9" s="143"/>
      <c r="N9" s="143"/>
      <c r="O9" s="143" t="s">
        <v>116</v>
      </c>
      <c r="P9" s="144"/>
      <c r="AG9" s="22"/>
    </row>
    <row r="10" spans="2:33" ht="16.95" customHeight="1" x14ac:dyDescent="0.3">
      <c r="B10" s="21"/>
      <c r="C10" s="14"/>
      <c r="D10" s="14"/>
      <c r="E10" s="152" t="s">
        <v>117</v>
      </c>
      <c r="F10" s="64"/>
      <c r="G10" s="64"/>
      <c r="H10" s="64"/>
      <c r="I10" s="64"/>
      <c r="J10" s="64"/>
      <c r="K10" s="49" t="s">
        <v>10</v>
      </c>
      <c r="L10" s="153">
        <v>0.24</v>
      </c>
      <c r="M10" s="57"/>
      <c r="N10" s="57"/>
      <c r="O10" s="57"/>
      <c r="P10" s="154"/>
      <c r="AG10" s="22"/>
    </row>
    <row r="11" spans="2:33" ht="16.95" customHeight="1" x14ac:dyDescent="0.3">
      <c r="B11" s="21"/>
      <c r="E11" s="152" t="s">
        <v>118</v>
      </c>
      <c r="F11" s="64"/>
      <c r="G11" s="64"/>
      <c r="H11" s="64"/>
      <c r="I11" s="64"/>
      <c r="J11" s="64"/>
      <c r="K11" s="49" t="s">
        <v>10</v>
      </c>
      <c r="L11" s="153">
        <v>0.85</v>
      </c>
      <c r="M11" s="57"/>
      <c r="N11" s="57"/>
      <c r="O11" s="57" t="s">
        <v>116</v>
      </c>
      <c r="P11" s="154"/>
      <c r="AG11" s="22"/>
    </row>
    <row r="12" spans="2:33" ht="16.95" customHeight="1" thickBot="1" x14ac:dyDescent="0.35">
      <c r="B12" s="21"/>
      <c r="E12" s="149" t="s">
        <v>119</v>
      </c>
      <c r="F12" s="150"/>
      <c r="G12" s="150"/>
      <c r="H12" s="150"/>
      <c r="I12" s="150"/>
      <c r="J12" s="150"/>
      <c r="K12" s="50" t="s">
        <v>10</v>
      </c>
      <c r="L12" s="151">
        <v>0.15</v>
      </c>
      <c r="M12" s="111"/>
      <c r="N12" s="111"/>
      <c r="O12" s="111"/>
      <c r="P12" s="112"/>
      <c r="AG12" s="22"/>
    </row>
    <row r="13" spans="2:33" ht="16.95" customHeight="1" x14ac:dyDescent="0.3">
      <c r="B13" s="21"/>
      <c r="AG13" s="22"/>
    </row>
    <row r="14" spans="2:33" ht="16.95" customHeight="1" x14ac:dyDescent="0.3">
      <c r="B14" s="21"/>
      <c r="C14" s="14" t="s">
        <v>120</v>
      </c>
      <c r="D14" s="14"/>
      <c r="E14" s="14" t="s">
        <v>151</v>
      </c>
      <c r="AG14" s="23"/>
    </row>
    <row r="15" spans="2:33" ht="16.95" customHeight="1" x14ac:dyDescent="0.3">
      <c r="B15" s="21"/>
      <c r="AG15" s="22"/>
    </row>
    <row r="16" spans="2:33" ht="37.200000000000003" customHeight="1" x14ac:dyDescent="0.3">
      <c r="B16" s="21"/>
      <c r="E16" s="195" t="s">
        <v>38</v>
      </c>
      <c r="F16" s="195"/>
      <c r="G16" s="195"/>
      <c r="H16" s="195"/>
      <c r="I16" s="195" t="s">
        <v>23</v>
      </c>
      <c r="J16" s="195"/>
      <c r="K16" s="195"/>
      <c r="L16" s="195"/>
      <c r="M16" s="192" t="s">
        <v>121</v>
      </c>
      <c r="N16" s="192"/>
      <c r="O16" s="192"/>
      <c r="P16" s="192"/>
      <c r="Q16" s="192"/>
      <c r="R16" s="192" t="s">
        <v>122</v>
      </c>
      <c r="S16" s="192"/>
      <c r="T16" s="192"/>
      <c r="U16" s="192"/>
      <c r="V16" s="192"/>
      <c r="W16" s="192" t="s">
        <v>123</v>
      </c>
      <c r="X16" s="192"/>
      <c r="Y16" s="192"/>
      <c r="Z16" s="192"/>
      <c r="AA16" s="192"/>
      <c r="AB16" s="192" t="s">
        <v>124</v>
      </c>
      <c r="AC16" s="192"/>
      <c r="AD16" s="192"/>
      <c r="AE16" s="192"/>
      <c r="AF16" s="192"/>
      <c r="AG16" s="22"/>
    </row>
    <row r="17" spans="2:33" ht="16.95" customHeight="1" x14ac:dyDescent="0.3">
      <c r="B17" s="21"/>
      <c r="E17" s="88" t="s">
        <v>125</v>
      </c>
      <c r="F17" s="88"/>
      <c r="G17" s="88"/>
      <c r="H17" s="88"/>
      <c r="I17" s="159" t="s">
        <v>126</v>
      </c>
      <c r="J17" s="159"/>
      <c r="K17" s="159"/>
      <c r="L17" s="159"/>
      <c r="M17" s="193">
        <v>5.2519999999999998</v>
      </c>
      <c r="N17" s="194"/>
      <c r="O17" s="194"/>
      <c r="P17" s="194"/>
      <c r="Q17" s="194"/>
      <c r="R17" s="194">
        <v>5.2519999999999998</v>
      </c>
      <c r="S17" s="194"/>
      <c r="T17" s="194"/>
      <c r="U17" s="194"/>
      <c r="V17" s="194"/>
      <c r="W17" s="194">
        <v>5.2519999999999998</v>
      </c>
      <c r="X17" s="194"/>
      <c r="Y17" s="194"/>
      <c r="Z17" s="194"/>
      <c r="AA17" s="194"/>
      <c r="AB17" s="194">
        <v>0.85</v>
      </c>
      <c r="AC17" s="194"/>
      <c r="AD17" s="194"/>
      <c r="AE17" s="194"/>
      <c r="AF17" s="194"/>
      <c r="AG17" s="22"/>
    </row>
    <row r="18" spans="2:33" ht="16.95" customHeight="1" x14ac:dyDescent="0.3">
      <c r="B18" s="21"/>
      <c r="E18" s="88"/>
      <c r="F18" s="88"/>
      <c r="G18" s="88"/>
      <c r="H18" s="88"/>
      <c r="I18" s="159" t="s">
        <v>21</v>
      </c>
      <c r="J18" s="159"/>
      <c r="K18" s="159"/>
      <c r="L18" s="159"/>
      <c r="M18" s="160">
        <f>IFERROR(((M17-$L$9)/$L$9),0)</f>
        <v>9.9999999999999239E-3</v>
      </c>
      <c r="N18" s="160"/>
      <c r="O18" s="160"/>
      <c r="P18" s="160"/>
      <c r="Q18" s="160"/>
      <c r="R18" s="160">
        <f t="shared" ref="R18" si="0">IFERROR(((R17-$L$9)/$L$9),0)</f>
        <v>9.9999999999999239E-3</v>
      </c>
      <c r="S18" s="160"/>
      <c r="T18" s="160"/>
      <c r="U18" s="160"/>
      <c r="V18" s="160"/>
      <c r="W18" s="160">
        <f>IFERROR(((W17-$L$9)/$L$9),0)</f>
        <v>9.9999999999999239E-3</v>
      </c>
      <c r="X18" s="160"/>
      <c r="Y18" s="160"/>
      <c r="Z18" s="160"/>
      <c r="AA18" s="160"/>
      <c r="AB18" s="160">
        <f>IFERROR(((AB17-$L$11)/$L$11),0)</f>
        <v>0</v>
      </c>
      <c r="AC18" s="160"/>
      <c r="AD18" s="160"/>
      <c r="AE18" s="160"/>
      <c r="AF18" s="160"/>
      <c r="AG18" s="27">
        <f>COUNTIF(M19:AF19,6)</f>
        <v>0</v>
      </c>
    </row>
    <row r="19" spans="2:33" ht="16.95" customHeight="1" x14ac:dyDescent="0.3">
      <c r="B19" s="21"/>
      <c r="E19" s="88"/>
      <c r="F19" s="88"/>
      <c r="G19" s="88"/>
      <c r="H19" s="88"/>
      <c r="I19" s="159" t="s">
        <v>8</v>
      </c>
      <c r="J19" s="159"/>
      <c r="K19" s="159"/>
      <c r="L19" s="159"/>
      <c r="M19" s="162">
        <f>IF((ABS(M18)&lt;=0.05),9,IF((ABS(M18)&lt;=0.1),6,1))</f>
        <v>9</v>
      </c>
      <c r="N19" s="162"/>
      <c r="O19" s="162"/>
      <c r="P19" s="162"/>
      <c r="Q19" s="162"/>
      <c r="R19" s="162">
        <f t="shared" ref="R19" si="1">IF((ABS(R18)&lt;=0.05),9,IF((ABS(R18)&lt;=0.1),6,1))</f>
        <v>9</v>
      </c>
      <c r="S19" s="162"/>
      <c r="T19" s="162"/>
      <c r="U19" s="162"/>
      <c r="V19" s="162"/>
      <c r="W19" s="162">
        <f>IF((ABS(W18)&lt;=0.05),9,IF((ABS(W18)&lt;=0.1),6,1))</f>
        <v>9</v>
      </c>
      <c r="X19" s="162"/>
      <c r="Y19" s="162"/>
      <c r="Z19" s="162"/>
      <c r="AA19" s="162"/>
      <c r="AB19" s="162">
        <f>IF((ABS(AB18)&lt;=0.05),9,IF((ABS(AB18)&lt;=0.1),6,1))</f>
        <v>9</v>
      </c>
      <c r="AC19" s="162"/>
      <c r="AD19" s="162"/>
      <c r="AE19" s="162"/>
      <c r="AF19" s="162"/>
      <c r="AG19" s="27">
        <f>COUNTIF(M19:AF19,1)</f>
        <v>0</v>
      </c>
    </row>
    <row r="20" spans="2:33" ht="16.95" customHeight="1" x14ac:dyDescent="0.3">
      <c r="B20" s="21"/>
      <c r="E20" s="88" t="s">
        <v>127</v>
      </c>
      <c r="F20" s="88"/>
      <c r="G20" s="88"/>
      <c r="H20" s="88"/>
      <c r="I20" s="159" t="s">
        <v>126</v>
      </c>
      <c r="J20" s="159"/>
      <c r="K20" s="159"/>
      <c r="L20" s="159"/>
      <c r="M20" s="167">
        <v>4.8360000000000003</v>
      </c>
      <c r="N20" s="168"/>
      <c r="O20" s="168"/>
      <c r="P20" s="168"/>
      <c r="Q20" s="168"/>
      <c r="R20" s="168">
        <v>4.8360000000000003</v>
      </c>
      <c r="S20" s="168"/>
      <c r="T20" s="168"/>
      <c r="U20" s="168"/>
      <c r="V20" s="168"/>
      <c r="W20" s="168">
        <v>4.8360000000000003</v>
      </c>
      <c r="X20" s="168"/>
      <c r="Y20" s="168"/>
      <c r="Z20" s="168"/>
      <c r="AA20" s="168"/>
      <c r="AB20" s="168">
        <v>0.79900000000000004</v>
      </c>
      <c r="AC20" s="168"/>
      <c r="AD20" s="168"/>
      <c r="AE20" s="168"/>
      <c r="AF20" s="168"/>
      <c r="AG20" s="22"/>
    </row>
    <row r="21" spans="2:33" ht="16.95" customHeight="1" x14ac:dyDescent="0.3">
      <c r="B21" s="21"/>
      <c r="E21" s="88"/>
      <c r="F21" s="88"/>
      <c r="G21" s="88"/>
      <c r="H21" s="88"/>
      <c r="I21" s="159" t="s">
        <v>128</v>
      </c>
      <c r="J21" s="159"/>
      <c r="K21" s="159"/>
      <c r="L21" s="159"/>
      <c r="M21" s="160">
        <f>IFERROR((M20/M17),0)</f>
        <v>0.92079207920792083</v>
      </c>
      <c r="N21" s="160"/>
      <c r="O21" s="160"/>
      <c r="P21" s="160"/>
      <c r="Q21" s="160"/>
      <c r="R21" s="160">
        <f t="shared" ref="R21" si="2">IFERROR((R20/R17),0)</f>
        <v>0.92079207920792083</v>
      </c>
      <c r="S21" s="160"/>
      <c r="T21" s="160"/>
      <c r="U21" s="160"/>
      <c r="V21" s="160"/>
      <c r="W21" s="160">
        <f>IFERROR((W20/W17),0)</f>
        <v>0.92079207920792083</v>
      </c>
      <c r="X21" s="160"/>
      <c r="Y21" s="160"/>
      <c r="Z21" s="160"/>
      <c r="AA21" s="160"/>
      <c r="AB21" s="160">
        <f>IFERROR((AB20/AB17),0)</f>
        <v>0.94000000000000006</v>
      </c>
      <c r="AC21" s="160"/>
      <c r="AD21" s="160"/>
      <c r="AE21" s="160"/>
      <c r="AF21" s="160"/>
      <c r="AG21" s="27">
        <f>COUNTIF(M22:AF22,6)</f>
        <v>4</v>
      </c>
    </row>
    <row r="22" spans="2:33" ht="16.95" customHeight="1" x14ac:dyDescent="0.3">
      <c r="B22" s="21"/>
      <c r="E22" s="88"/>
      <c r="F22" s="88"/>
      <c r="G22" s="88"/>
      <c r="H22" s="88"/>
      <c r="I22" s="159" t="s">
        <v>8</v>
      </c>
      <c r="J22" s="159"/>
      <c r="K22" s="159"/>
      <c r="L22" s="159"/>
      <c r="M22" s="162">
        <f>IF((ABS(M21)&gt;=0.95),9,IF((ABS(M21)&gt;=0.9),6,IF((ABS(M21)=0),9,1)))</f>
        <v>6</v>
      </c>
      <c r="N22" s="162"/>
      <c r="O22" s="162"/>
      <c r="P22" s="162"/>
      <c r="Q22" s="162"/>
      <c r="R22" s="162">
        <f>IF((ABS(R21)&gt;=0.95),9,IF((ABS(R21)&gt;=0.9),6,IF((ABS(R21)=0),9,1)))</f>
        <v>6</v>
      </c>
      <c r="S22" s="162"/>
      <c r="T22" s="162"/>
      <c r="U22" s="162"/>
      <c r="V22" s="162"/>
      <c r="W22" s="162">
        <f>IF((ABS(W21)&gt;=0.95),9,IF((ABS(W21)&gt;=0.9),6,IF((ABS(W21)=0),9,1)))</f>
        <v>6</v>
      </c>
      <c r="X22" s="162"/>
      <c r="Y22" s="162"/>
      <c r="Z22" s="162"/>
      <c r="AA22" s="162"/>
      <c r="AB22" s="162">
        <f>IF((ABS(AB21)&gt;=0.95),9,IF((ABS(AB21)&gt;=0.9),6,IF((ABS(AB21)=0),9,1)))</f>
        <v>6</v>
      </c>
      <c r="AC22" s="162"/>
      <c r="AD22" s="162"/>
      <c r="AE22" s="162"/>
      <c r="AF22" s="162"/>
      <c r="AG22" s="27">
        <f>COUNTIF(M22:AF22,1)</f>
        <v>0</v>
      </c>
    </row>
    <row r="23" spans="2:33" ht="16.95" customHeight="1" x14ac:dyDescent="0.3">
      <c r="B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G23" s="22"/>
    </row>
    <row r="24" spans="2:33" ht="16.95" customHeight="1" x14ac:dyDescent="0.3">
      <c r="B24" s="21"/>
      <c r="E24" s="75" t="s">
        <v>129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7"/>
      <c r="S24" s="170">
        <f>MIN(M19:AF19,M22:AF22)</f>
        <v>6</v>
      </c>
      <c r="T24" s="58"/>
      <c r="U24" s="58"/>
      <c r="V24" s="58"/>
      <c r="AG24" s="22"/>
    </row>
    <row r="25" spans="2:33" ht="16.95" customHeight="1" x14ac:dyDescent="0.3">
      <c r="B25" s="21"/>
      <c r="AG25" s="22"/>
    </row>
    <row r="26" spans="2:33" ht="16.95" customHeight="1" x14ac:dyDescent="0.3">
      <c r="B26" s="21"/>
      <c r="C26" s="14" t="s">
        <v>130</v>
      </c>
      <c r="D26" s="14"/>
      <c r="E26" s="14" t="s">
        <v>152</v>
      </c>
      <c r="AG26" s="22"/>
    </row>
    <row r="27" spans="2:33" ht="16.95" customHeight="1" x14ac:dyDescent="0.3">
      <c r="B27" s="21"/>
      <c r="AG27" s="22"/>
    </row>
    <row r="28" spans="2:33" ht="37.200000000000003" customHeight="1" x14ac:dyDescent="0.3">
      <c r="B28" s="21"/>
      <c r="E28" s="195" t="s">
        <v>131</v>
      </c>
      <c r="F28" s="195"/>
      <c r="G28" s="195"/>
      <c r="H28" s="195"/>
      <c r="I28" s="195" t="s">
        <v>23</v>
      </c>
      <c r="J28" s="195"/>
      <c r="K28" s="195"/>
      <c r="L28" s="195"/>
      <c r="M28" s="192" t="s">
        <v>132</v>
      </c>
      <c r="N28" s="192"/>
      <c r="O28" s="192"/>
      <c r="P28" s="192"/>
      <c r="Q28" s="192"/>
      <c r="R28" s="192" t="s">
        <v>133</v>
      </c>
      <c r="S28" s="192"/>
      <c r="T28" s="192"/>
      <c r="U28" s="192"/>
      <c r="V28" s="192"/>
      <c r="W28" s="192" t="s">
        <v>134</v>
      </c>
      <c r="X28" s="192"/>
      <c r="Y28" s="192"/>
      <c r="Z28" s="192"/>
      <c r="AA28" s="192"/>
      <c r="AB28" s="192" t="s">
        <v>135</v>
      </c>
      <c r="AC28" s="192"/>
      <c r="AD28" s="192"/>
      <c r="AE28" s="192"/>
      <c r="AF28" s="192"/>
      <c r="AG28" s="22"/>
    </row>
    <row r="29" spans="2:33" ht="16.95" customHeight="1" x14ac:dyDescent="0.3">
      <c r="B29" s="21"/>
      <c r="E29" s="88" t="s">
        <v>136</v>
      </c>
      <c r="F29" s="88"/>
      <c r="G29" s="88"/>
      <c r="H29" s="88"/>
      <c r="I29" s="159" t="s">
        <v>137</v>
      </c>
      <c r="J29" s="159"/>
      <c r="K29" s="159"/>
      <c r="L29" s="159"/>
      <c r="M29" s="176">
        <f>1.5*$L$9</f>
        <v>7.8000000000000007</v>
      </c>
      <c r="N29" s="176"/>
      <c r="O29" s="176"/>
      <c r="P29" s="176"/>
      <c r="Q29" s="176"/>
      <c r="R29" s="176">
        <f>2*$L$9</f>
        <v>10.4</v>
      </c>
      <c r="S29" s="176"/>
      <c r="T29" s="176"/>
      <c r="U29" s="176"/>
      <c r="V29" s="176"/>
      <c r="W29" s="176">
        <f>2.5*$L$9</f>
        <v>13</v>
      </c>
      <c r="X29" s="176"/>
      <c r="Y29" s="176"/>
      <c r="Z29" s="176"/>
      <c r="AA29" s="176"/>
      <c r="AB29" s="176">
        <f>3*$L$9</f>
        <v>15.600000000000001</v>
      </c>
      <c r="AC29" s="176"/>
      <c r="AD29" s="176"/>
      <c r="AE29" s="176"/>
      <c r="AF29" s="176"/>
      <c r="AG29" s="22"/>
    </row>
    <row r="30" spans="2:33" ht="16.95" customHeight="1" x14ac:dyDescent="0.3">
      <c r="B30" s="21"/>
      <c r="E30" s="88"/>
      <c r="F30" s="88"/>
      <c r="G30" s="88"/>
      <c r="H30" s="88"/>
      <c r="I30" s="159" t="s">
        <v>138</v>
      </c>
      <c r="J30" s="159"/>
      <c r="K30" s="159"/>
      <c r="L30" s="159"/>
      <c r="M30" s="176">
        <f>0.14*$L$10/(((M29/$L$9)^0.02)-1)</f>
        <v>4.1266125228135433</v>
      </c>
      <c r="N30" s="176"/>
      <c r="O30" s="176"/>
      <c r="P30" s="176"/>
      <c r="Q30" s="176"/>
      <c r="R30" s="176">
        <f t="shared" ref="R30" si="3">0.14*$L$10/(((R29/$L$9)^0.02)-1)</f>
        <v>2.4069664848112491</v>
      </c>
      <c r="S30" s="176"/>
      <c r="T30" s="176"/>
      <c r="U30" s="176"/>
      <c r="V30" s="176"/>
      <c r="W30" s="176">
        <f t="shared" ref="W30" si="4">0.14*$L$10/(((W29/$L$9)^0.02)-1)</f>
        <v>1.8167305141284367</v>
      </c>
      <c r="X30" s="176"/>
      <c r="Y30" s="176"/>
      <c r="Z30" s="176"/>
      <c r="AA30" s="176"/>
      <c r="AB30" s="176">
        <f t="shared" ref="AB30" si="5">0.14*$L$10/(((AB29/$L$9)^0.02)-1)</f>
        <v>1.5124634225262248</v>
      </c>
      <c r="AC30" s="176"/>
      <c r="AD30" s="176"/>
      <c r="AE30" s="176"/>
      <c r="AF30" s="176"/>
      <c r="AG30" s="22"/>
    </row>
    <row r="31" spans="2:33" ht="16.95" customHeight="1" x14ac:dyDescent="0.3">
      <c r="B31" s="21"/>
      <c r="E31" s="88"/>
      <c r="F31" s="88"/>
      <c r="G31" s="88"/>
      <c r="H31" s="88"/>
      <c r="I31" s="159" t="s">
        <v>139</v>
      </c>
      <c r="J31" s="159"/>
      <c r="K31" s="159"/>
      <c r="L31" s="159"/>
      <c r="M31" s="167">
        <v>4.173</v>
      </c>
      <c r="N31" s="168"/>
      <c r="O31" s="168"/>
      <c r="P31" s="168"/>
      <c r="Q31" s="168"/>
      <c r="R31" s="168">
        <v>2.4209999999999998</v>
      </c>
      <c r="S31" s="168"/>
      <c r="T31" s="168"/>
      <c r="U31" s="168"/>
      <c r="V31" s="168"/>
      <c r="W31" s="168">
        <v>1.827</v>
      </c>
      <c r="X31" s="168"/>
      <c r="Y31" s="168"/>
      <c r="Z31" s="168"/>
      <c r="AA31" s="168"/>
      <c r="AB31" s="168">
        <v>1.524</v>
      </c>
      <c r="AC31" s="168"/>
      <c r="AD31" s="168"/>
      <c r="AE31" s="168"/>
      <c r="AF31" s="168"/>
      <c r="AG31" s="22"/>
    </row>
    <row r="32" spans="2:33" ht="16.95" customHeight="1" x14ac:dyDescent="0.3">
      <c r="B32" s="21"/>
      <c r="E32" s="88"/>
      <c r="F32" s="88"/>
      <c r="G32" s="88"/>
      <c r="H32" s="88"/>
      <c r="I32" s="159" t="s">
        <v>21</v>
      </c>
      <c r="J32" s="159"/>
      <c r="K32" s="159"/>
      <c r="L32" s="159"/>
      <c r="M32" s="160">
        <f>IFERROR(((M31-M30)/M30),0)</f>
        <v>1.1241054722246992E-2</v>
      </c>
      <c r="N32" s="160"/>
      <c r="O32" s="160"/>
      <c r="P32" s="160"/>
      <c r="Q32" s="160"/>
      <c r="R32" s="160">
        <f t="shared" ref="R32" si="6">IFERROR(((R31-R30)/R30),0)</f>
        <v>5.8303741565604817E-3</v>
      </c>
      <c r="S32" s="160"/>
      <c r="T32" s="160"/>
      <c r="U32" s="160"/>
      <c r="V32" s="160"/>
      <c r="W32" s="160">
        <f t="shared" ref="W32" si="7">IFERROR(((W31-W30)/W30),0)</f>
        <v>5.6527293353081593E-3</v>
      </c>
      <c r="X32" s="160"/>
      <c r="Y32" s="160"/>
      <c r="Z32" s="160"/>
      <c r="AA32" s="160"/>
      <c r="AB32" s="160">
        <f>IFERROR(((AB31-AB30)/AB30),0)</f>
        <v>7.6276737023537504E-3</v>
      </c>
      <c r="AC32" s="160"/>
      <c r="AD32" s="160"/>
      <c r="AE32" s="160"/>
      <c r="AF32" s="160"/>
      <c r="AG32" s="22"/>
    </row>
    <row r="33" spans="2:33" ht="16.95" customHeight="1" x14ac:dyDescent="0.3">
      <c r="B33" s="21"/>
      <c r="E33" s="88" t="s">
        <v>140</v>
      </c>
      <c r="F33" s="88"/>
      <c r="G33" s="88"/>
      <c r="H33" s="88"/>
      <c r="I33" s="159" t="s">
        <v>137</v>
      </c>
      <c r="J33" s="159"/>
      <c r="K33" s="159"/>
      <c r="L33" s="159"/>
      <c r="M33" s="176">
        <f>1.5*$L$9</f>
        <v>7.8000000000000007</v>
      </c>
      <c r="N33" s="176"/>
      <c r="O33" s="176"/>
      <c r="P33" s="176"/>
      <c r="Q33" s="176"/>
      <c r="R33" s="176">
        <f>2*$L$9</f>
        <v>10.4</v>
      </c>
      <c r="S33" s="176"/>
      <c r="T33" s="176"/>
      <c r="U33" s="176"/>
      <c r="V33" s="176"/>
      <c r="W33" s="176">
        <f>2.5*$L$9</f>
        <v>13</v>
      </c>
      <c r="X33" s="176"/>
      <c r="Y33" s="176"/>
      <c r="Z33" s="176"/>
      <c r="AA33" s="176"/>
      <c r="AB33" s="176">
        <f>3*$L$9</f>
        <v>15.600000000000001</v>
      </c>
      <c r="AC33" s="176"/>
      <c r="AD33" s="176"/>
      <c r="AE33" s="176"/>
      <c r="AF33" s="176"/>
      <c r="AG33" s="27">
        <f>COUNTIF(L33:AF33,1)</f>
        <v>0</v>
      </c>
    </row>
    <row r="34" spans="2:33" ht="16.95" customHeight="1" x14ac:dyDescent="0.3">
      <c r="B34" s="21"/>
      <c r="E34" s="88"/>
      <c r="F34" s="88"/>
      <c r="G34" s="88"/>
      <c r="H34" s="88"/>
      <c r="I34" s="159" t="s">
        <v>138</v>
      </c>
      <c r="J34" s="159"/>
      <c r="K34" s="159"/>
      <c r="L34" s="159"/>
      <c r="M34" s="176">
        <f>0.14*$L$10/(((M33/$L$9)^0.02)-1)</f>
        <v>4.1266125228135433</v>
      </c>
      <c r="N34" s="176"/>
      <c r="O34" s="176"/>
      <c r="P34" s="176"/>
      <c r="Q34" s="176"/>
      <c r="R34" s="176">
        <f t="shared" ref="R34" si="8">0.14*$L$10/(((R33/$L$9)^0.02)-1)</f>
        <v>2.4069664848112491</v>
      </c>
      <c r="S34" s="176"/>
      <c r="T34" s="176"/>
      <c r="U34" s="176"/>
      <c r="V34" s="176"/>
      <c r="W34" s="176">
        <f t="shared" ref="W34" si="9">0.14*$L$10/(((W33/$L$9)^0.02)-1)</f>
        <v>1.8167305141284367</v>
      </c>
      <c r="X34" s="176"/>
      <c r="Y34" s="176"/>
      <c r="Z34" s="176"/>
      <c r="AA34" s="176"/>
      <c r="AB34" s="176">
        <f t="shared" ref="AB34" si="10">0.14*$L$10/(((AB33/$L$9)^0.02)-1)</f>
        <v>1.5124634225262248</v>
      </c>
      <c r="AC34" s="176"/>
      <c r="AD34" s="176"/>
      <c r="AE34" s="176"/>
      <c r="AF34" s="176"/>
      <c r="AG34" s="27"/>
    </row>
    <row r="35" spans="2:33" ht="16.95" customHeight="1" x14ac:dyDescent="0.3">
      <c r="B35" s="21"/>
      <c r="E35" s="88"/>
      <c r="F35" s="88"/>
      <c r="G35" s="88"/>
      <c r="H35" s="88"/>
      <c r="I35" s="159" t="s">
        <v>139</v>
      </c>
      <c r="J35" s="159"/>
      <c r="K35" s="159"/>
      <c r="L35" s="159"/>
      <c r="M35" s="167">
        <v>4.1769999999999996</v>
      </c>
      <c r="N35" s="168"/>
      <c r="O35" s="168"/>
      <c r="P35" s="168"/>
      <c r="Q35" s="168"/>
      <c r="R35" s="168">
        <v>2.4220000000000002</v>
      </c>
      <c r="S35" s="168"/>
      <c r="T35" s="168"/>
      <c r="U35" s="168"/>
      <c r="V35" s="168"/>
      <c r="W35" s="168">
        <v>1.831</v>
      </c>
      <c r="X35" s="168"/>
      <c r="Y35" s="168"/>
      <c r="Z35" s="168"/>
      <c r="AA35" s="168"/>
      <c r="AB35" s="168">
        <v>1.524</v>
      </c>
      <c r="AC35" s="168"/>
      <c r="AD35" s="168"/>
      <c r="AE35" s="168"/>
      <c r="AF35" s="168"/>
      <c r="AG35" s="27"/>
    </row>
    <row r="36" spans="2:33" ht="16.95" customHeight="1" x14ac:dyDescent="0.3">
      <c r="B36" s="21"/>
      <c r="E36" s="88"/>
      <c r="F36" s="88"/>
      <c r="G36" s="88"/>
      <c r="H36" s="88"/>
      <c r="I36" s="159" t="s">
        <v>21</v>
      </c>
      <c r="J36" s="159"/>
      <c r="K36" s="159"/>
      <c r="L36" s="159"/>
      <c r="M36" s="160">
        <f>IFERROR(((M35-M34)/M34),0)</f>
        <v>1.2210372771345611E-2</v>
      </c>
      <c r="N36" s="160"/>
      <c r="O36" s="160"/>
      <c r="P36" s="160"/>
      <c r="Q36" s="160"/>
      <c r="R36" s="160">
        <f t="shared" ref="R36" si="11">IFERROR(((R35-R34)/R34),0)</f>
        <v>6.2458348645972007E-3</v>
      </c>
      <c r="S36" s="160"/>
      <c r="T36" s="160"/>
      <c r="U36" s="160"/>
      <c r="V36" s="160"/>
      <c r="W36" s="160">
        <f t="shared" ref="W36" si="12">IFERROR(((W35-W34)/W34),0)</f>
        <v>7.8544868160641736E-3</v>
      </c>
      <c r="X36" s="160"/>
      <c r="Y36" s="160"/>
      <c r="Z36" s="160"/>
      <c r="AA36" s="160"/>
      <c r="AB36" s="160">
        <f>IFERROR(((AB35-AB34)/AB34),0)</f>
        <v>7.6276737023537504E-3</v>
      </c>
      <c r="AC36" s="160"/>
      <c r="AD36" s="160"/>
      <c r="AE36" s="160"/>
      <c r="AF36" s="160"/>
      <c r="AG36" s="27"/>
    </row>
    <row r="37" spans="2:33" ht="16.95" customHeight="1" x14ac:dyDescent="0.3">
      <c r="B37" s="21"/>
      <c r="E37" s="88" t="s">
        <v>141</v>
      </c>
      <c r="F37" s="88"/>
      <c r="G37" s="88"/>
      <c r="H37" s="88"/>
      <c r="I37" s="159" t="s">
        <v>137</v>
      </c>
      <c r="J37" s="159"/>
      <c r="K37" s="159"/>
      <c r="L37" s="159"/>
      <c r="M37" s="176">
        <f>1.5*$L$9</f>
        <v>7.8000000000000007</v>
      </c>
      <c r="N37" s="176"/>
      <c r="O37" s="176"/>
      <c r="P37" s="176"/>
      <c r="Q37" s="176"/>
      <c r="R37" s="176">
        <f>2*$L$9</f>
        <v>10.4</v>
      </c>
      <c r="S37" s="176"/>
      <c r="T37" s="176"/>
      <c r="U37" s="176"/>
      <c r="V37" s="176"/>
      <c r="W37" s="176">
        <f>2.5*$L$9</f>
        <v>13</v>
      </c>
      <c r="X37" s="176"/>
      <c r="Y37" s="176"/>
      <c r="Z37" s="176"/>
      <c r="AA37" s="176"/>
      <c r="AB37" s="176">
        <f>3*$L$9</f>
        <v>15.600000000000001</v>
      </c>
      <c r="AC37" s="176"/>
      <c r="AD37" s="176"/>
      <c r="AE37" s="176"/>
      <c r="AF37" s="176"/>
      <c r="AG37" s="27"/>
    </row>
    <row r="38" spans="2:33" ht="16.95" customHeight="1" x14ac:dyDescent="0.3">
      <c r="B38" s="21"/>
      <c r="E38" s="88"/>
      <c r="F38" s="88"/>
      <c r="G38" s="88"/>
      <c r="H38" s="88"/>
      <c r="I38" s="159" t="s">
        <v>138</v>
      </c>
      <c r="J38" s="159"/>
      <c r="K38" s="159"/>
      <c r="L38" s="159"/>
      <c r="M38" s="176">
        <f>0.14*$L$10/(((M37/$L$9)^0.02)-1)</f>
        <v>4.1266125228135433</v>
      </c>
      <c r="N38" s="176"/>
      <c r="O38" s="176"/>
      <c r="P38" s="176"/>
      <c r="Q38" s="176"/>
      <c r="R38" s="176">
        <f t="shared" ref="R38" si="13">0.14*$L$10/(((R37/$L$9)^0.02)-1)</f>
        <v>2.4069664848112491</v>
      </c>
      <c r="S38" s="176"/>
      <c r="T38" s="176"/>
      <c r="U38" s="176"/>
      <c r="V38" s="176"/>
      <c r="W38" s="176">
        <f t="shared" ref="W38" si="14">0.14*$L$10/(((W37/$L$9)^0.02)-1)</f>
        <v>1.8167305141284367</v>
      </c>
      <c r="X38" s="176"/>
      <c r="Y38" s="176"/>
      <c r="Z38" s="176"/>
      <c r="AA38" s="176"/>
      <c r="AB38" s="176">
        <f t="shared" ref="AB38" si="15">0.14*$L$10/(((AB37/$L$9)^0.02)-1)</f>
        <v>1.5124634225262248</v>
      </c>
      <c r="AC38" s="176"/>
      <c r="AD38" s="176"/>
      <c r="AE38" s="176"/>
      <c r="AF38" s="176"/>
      <c r="AG38" s="27"/>
    </row>
    <row r="39" spans="2:33" ht="16.95" customHeight="1" x14ac:dyDescent="0.3">
      <c r="B39" s="21"/>
      <c r="E39" s="88"/>
      <c r="F39" s="88"/>
      <c r="G39" s="88"/>
      <c r="H39" s="88"/>
      <c r="I39" s="159" t="s">
        <v>139</v>
      </c>
      <c r="J39" s="159"/>
      <c r="K39" s="159"/>
      <c r="L39" s="159"/>
      <c r="M39" s="167">
        <v>4.1740000000000004</v>
      </c>
      <c r="N39" s="168"/>
      <c r="O39" s="168"/>
      <c r="P39" s="168"/>
      <c r="Q39" s="168"/>
      <c r="R39" s="168">
        <v>2.4180000000000001</v>
      </c>
      <c r="S39" s="168"/>
      <c r="T39" s="168"/>
      <c r="U39" s="168"/>
      <c r="V39" s="168"/>
      <c r="W39" s="168">
        <v>1.83</v>
      </c>
      <c r="X39" s="168"/>
      <c r="Y39" s="168"/>
      <c r="Z39" s="168"/>
      <c r="AA39" s="168"/>
      <c r="AB39" s="168">
        <v>1.522</v>
      </c>
      <c r="AC39" s="168"/>
      <c r="AD39" s="168"/>
      <c r="AE39" s="168"/>
      <c r="AF39" s="168"/>
      <c r="AG39" s="27"/>
    </row>
    <row r="40" spans="2:33" ht="16.95" customHeight="1" x14ac:dyDescent="0.3">
      <c r="B40" s="21"/>
      <c r="E40" s="88"/>
      <c r="F40" s="88"/>
      <c r="G40" s="88"/>
      <c r="H40" s="88"/>
      <c r="I40" s="159" t="s">
        <v>21</v>
      </c>
      <c r="J40" s="159"/>
      <c r="K40" s="159"/>
      <c r="L40" s="159"/>
      <c r="M40" s="160">
        <f>IFERROR(((M39-M38)/M38),0)</f>
        <v>1.1483384234521754E-2</v>
      </c>
      <c r="N40" s="160"/>
      <c r="O40" s="160"/>
      <c r="P40" s="160"/>
      <c r="Q40" s="160"/>
      <c r="R40" s="160">
        <f t="shared" ref="R40" si="16">IFERROR(((R39-R38)/R38),0)</f>
        <v>4.5839920324508782E-3</v>
      </c>
      <c r="S40" s="160"/>
      <c r="T40" s="160"/>
      <c r="U40" s="160"/>
      <c r="V40" s="160"/>
      <c r="W40" s="160">
        <f t="shared" ref="W40" si="17">IFERROR(((W39-W38)/W38),0)</f>
        <v>7.304047445875231E-3</v>
      </c>
      <c r="X40" s="160"/>
      <c r="Y40" s="160"/>
      <c r="Z40" s="160"/>
      <c r="AA40" s="160"/>
      <c r="AB40" s="160">
        <f>IFERROR(((AB39-AB38)/AB38),0)</f>
        <v>6.3053276738729699E-3</v>
      </c>
      <c r="AC40" s="160"/>
      <c r="AD40" s="160"/>
      <c r="AE40" s="160"/>
      <c r="AF40" s="160"/>
      <c r="AG40" s="27"/>
    </row>
    <row r="41" spans="2:33" ht="16.95" customHeight="1" x14ac:dyDescent="0.3">
      <c r="B41" s="21"/>
      <c r="E41" s="88" t="s">
        <v>124</v>
      </c>
      <c r="F41" s="88"/>
      <c r="G41" s="88"/>
      <c r="H41" s="88"/>
      <c r="I41" s="159" t="s">
        <v>137</v>
      </c>
      <c r="J41" s="159"/>
      <c r="K41" s="159"/>
      <c r="L41" s="159"/>
      <c r="M41" s="176">
        <f>1.5*$L$11</f>
        <v>1.2749999999999999</v>
      </c>
      <c r="N41" s="176"/>
      <c r="O41" s="176"/>
      <c r="P41" s="176"/>
      <c r="Q41" s="176"/>
      <c r="R41" s="176">
        <f>2*$L$11</f>
        <v>1.7</v>
      </c>
      <c r="S41" s="176"/>
      <c r="T41" s="176"/>
      <c r="U41" s="176"/>
      <c r="V41" s="176"/>
      <c r="W41" s="176">
        <f>2.5*$L$11</f>
        <v>2.125</v>
      </c>
      <c r="X41" s="176"/>
      <c r="Y41" s="176"/>
      <c r="Z41" s="176"/>
      <c r="AA41" s="176"/>
      <c r="AB41" s="176">
        <f>3*$L$11</f>
        <v>2.5499999999999998</v>
      </c>
      <c r="AC41" s="176"/>
      <c r="AD41" s="176"/>
      <c r="AE41" s="176"/>
      <c r="AF41" s="176"/>
      <c r="AG41" s="27">
        <f>COUNTIF(L41:AF41,1)</f>
        <v>0</v>
      </c>
    </row>
    <row r="42" spans="2:33" ht="16.95" customHeight="1" x14ac:dyDescent="0.3">
      <c r="B42" s="21"/>
      <c r="E42" s="88"/>
      <c r="F42" s="88"/>
      <c r="G42" s="88"/>
      <c r="H42" s="88"/>
      <c r="I42" s="159" t="s">
        <v>138</v>
      </c>
      <c r="J42" s="159"/>
      <c r="K42" s="159"/>
      <c r="L42" s="159"/>
      <c r="M42" s="176">
        <f>0.14*$L$12/(((M41/$L$11)^0.02)-1)</f>
        <v>2.5791328267584643</v>
      </c>
      <c r="N42" s="176"/>
      <c r="O42" s="176"/>
      <c r="P42" s="176"/>
      <c r="Q42" s="176"/>
      <c r="R42" s="176">
        <f t="shared" ref="R42" si="18">0.14*$L$12/(((R41/$L$11)^0.02)-1)</f>
        <v>1.5043540530070307</v>
      </c>
      <c r="S42" s="176"/>
      <c r="T42" s="176"/>
      <c r="U42" s="176"/>
      <c r="V42" s="176"/>
      <c r="W42" s="176">
        <f t="shared" ref="W42" si="19">0.14*$L$12/(((W41/$L$11)^0.02)-1)</f>
        <v>1.1354565713302729</v>
      </c>
      <c r="X42" s="176"/>
      <c r="Y42" s="176"/>
      <c r="Z42" s="176"/>
      <c r="AA42" s="176"/>
      <c r="AB42" s="176">
        <f t="shared" ref="AB42" si="20">0.14*$L$12/(((AB41/$L$11)^0.02)-1)</f>
        <v>0.94528963907889052</v>
      </c>
      <c r="AC42" s="176"/>
      <c r="AD42" s="176"/>
      <c r="AE42" s="176"/>
      <c r="AF42" s="176"/>
      <c r="AG42" s="27"/>
    </row>
    <row r="43" spans="2:33" ht="16.95" customHeight="1" x14ac:dyDescent="0.3">
      <c r="B43" s="21"/>
      <c r="E43" s="88"/>
      <c r="F43" s="88"/>
      <c r="G43" s="88"/>
      <c r="H43" s="88"/>
      <c r="I43" s="159" t="s">
        <v>139</v>
      </c>
      <c r="J43" s="159"/>
      <c r="K43" s="159"/>
      <c r="L43" s="159"/>
      <c r="M43" s="167">
        <v>2.62</v>
      </c>
      <c r="N43" s="168"/>
      <c r="O43" s="168"/>
      <c r="P43" s="168"/>
      <c r="Q43" s="168"/>
      <c r="R43" s="168">
        <v>1.5189999999999999</v>
      </c>
      <c r="S43" s="168"/>
      <c r="T43" s="168"/>
      <c r="U43" s="168"/>
      <c r="V43" s="168"/>
      <c r="W43" s="168">
        <v>1.151</v>
      </c>
      <c r="X43" s="168"/>
      <c r="Y43" s="168"/>
      <c r="Z43" s="168"/>
      <c r="AA43" s="168"/>
      <c r="AB43" s="168">
        <v>0.96</v>
      </c>
      <c r="AC43" s="168"/>
      <c r="AD43" s="168"/>
      <c r="AE43" s="168"/>
      <c r="AF43" s="168"/>
      <c r="AG43" s="27"/>
    </row>
    <row r="44" spans="2:33" ht="16.95" customHeight="1" x14ac:dyDescent="0.3">
      <c r="B44" s="21"/>
      <c r="E44" s="88"/>
      <c r="F44" s="88"/>
      <c r="G44" s="88"/>
      <c r="H44" s="88"/>
      <c r="I44" s="159" t="s">
        <v>21</v>
      </c>
      <c r="J44" s="159"/>
      <c r="K44" s="159"/>
      <c r="L44" s="159"/>
      <c r="M44" s="160">
        <f>IFERROR(((M43-M42)/M42),0)</f>
        <v>1.5845315455466063E-2</v>
      </c>
      <c r="N44" s="160"/>
      <c r="O44" s="160"/>
      <c r="P44" s="160"/>
      <c r="Q44" s="160"/>
      <c r="R44" s="160">
        <f t="shared" ref="R44" si="21">IFERROR(((R43-R42)/R42),0)</f>
        <v>9.7357048121043104E-3</v>
      </c>
      <c r="S44" s="160"/>
      <c r="T44" s="160"/>
      <c r="U44" s="160"/>
      <c r="V44" s="160"/>
      <c r="W44" s="160">
        <f t="shared" ref="W44" si="22">IFERROR(((W43-W42)/W42),0)</f>
        <v>1.368914414006767E-2</v>
      </c>
      <c r="X44" s="160"/>
      <c r="Y44" s="160"/>
      <c r="Z44" s="160"/>
      <c r="AA44" s="160"/>
      <c r="AB44" s="160">
        <f>IFERROR(((AB43-AB42)/AB42),0)</f>
        <v>1.5561749873238344E-2</v>
      </c>
      <c r="AC44" s="160"/>
      <c r="AD44" s="160"/>
      <c r="AE44" s="160"/>
      <c r="AF44" s="160"/>
      <c r="AG44" s="27"/>
    </row>
    <row r="45" spans="2:33" ht="16.95" customHeight="1" x14ac:dyDescent="0.3">
      <c r="B45" s="21"/>
      <c r="E45" s="88" t="s">
        <v>142</v>
      </c>
      <c r="F45" s="88"/>
      <c r="G45" s="88"/>
      <c r="H45" s="88"/>
      <c r="I45" s="88"/>
      <c r="J45" s="88"/>
      <c r="K45" s="88"/>
      <c r="L45" s="88"/>
      <c r="M45" s="160">
        <f>MAX(ABS(M32),ABS(M36),ABS(M40),ABS(M44))</f>
        <v>1.5845315455466063E-2</v>
      </c>
      <c r="N45" s="160"/>
      <c r="O45" s="160"/>
      <c r="P45" s="160"/>
      <c r="Q45" s="160"/>
      <c r="R45" s="160">
        <f t="shared" ref="R45" si="23">MAX(ABS(R32),ABS(R36),ABS(R40),ABS(R44))</f>
        <v>9.7357048121043104E-3</v>
      </c>
      <c r="S45" s="160"/>
      <c r="T45" s="160"/>
      <c r="U45" s="160"/>
      <c r="V45" s="160"/>
      <c r="W45" s="160">
        <f t="shared" ref="W45" si="24">MAX(ABS(W32),ABS(W36),ABS(W40),ABS(W44))</f>
        <v>1.368914414006767E-2</v>
      </c>
      <c r="X45" s="160"/>
      <c r="Y45" s="160"/>
      <c r="Z45" s="160"/>
      <c r="AA45" s="160"/>
      <c r="AB45" s="160">
        <f t="shared" ref="AB45" si="25">MAX(ABS(AB32),ABS(AB36),ABS(AB40),ABS(AB44))</f>
        <v>1.5561749873238344E-2</v>
      </c>
      <c r="AC45" s="160"/>
      <c r="AD45" s="160"/>
      <c r="AE45" s="160"/>
      <c r="AF45" s="160"/>
      <c r="AG45" s="27"/>
    </row>
    <row r="46" spans="2:33" ht="16.95" customHeight="1" x14ac:dyDescent="0.3">
      <c r="B46" s="21"/>
      <c r="E46" s="88" t="s">
        <v>143</v>
      </c>
      <c r="F46" s="88"/>
      <c r="G46" s="88"/>
      <c r="H46" s="88"/>
      <c r="I46" s="88"/>
      <c r="J46" s="88"/>
      <c r="K46" s="88"/>
      <c r="L46" s="88"/>
      <c r="M46" s="162">
        <f>IF((ABS(M45)&lt;=0.05),9,IF((ABS(M45)&lt;=0.1),6,1))</f>
        <v>9</v>
      </c>
      <c r="N46" s="162"/>
      <c r="O46" s="162"/>
      <c r="P46" s="162"/>
      <c r="Q46" s="162"/>
      <c r="R46" s="162">
        <f t="shared" ref="R46" si="26">IF((ABS(R45)&lt;=0.05),9,IF((ABS(R45)&lt;=0.1),6,1))</f>
        <v>9</v>
      </c>
      <c r="S46" s="162"/>
      <c r="T46" s="162"/>
      <c r="U46" s="162"/>
      <c r="V46" s="162"/>
      <c r="W46" s="162">
        <f t="shared" ref="W46" si="27">IF((ABS(W45)&lt;=0.05),9,IF((ABS(W45)&lt;=0.1),6,1))</f>
        <v>9</v>
      </c>
      <c r="X46" s="162"/>
      <c r="Y46" s="162"/>
      <c r="Z46" s="162"/>
      <c r="AA46" s="162"/>
      <c r="AB46" s="162">
        <f t="shared" ref="AB46" si="28">IF((ABS(AB45)&lt;=0.05),9,IF((ABS(AB45)&lt;=0.1),6,1))</f>
        <v>9</v>
      </c>
      <c r="AC46" s="162"/>
      <c r="AD46" s="162"/>
      <c r="AE46" s="162"/>
      <c r="AF46" s="162"/>
      <c r="AG46" s="27"/>
    </row>
    <row r="47" spans="2:33" ht="16.95" customHeight="1" x14ac:dyDescent="0.3">
      <c r="B47" s="21"/>
      <c r="AG47" s="22"/>
    </row>
    <row r="48" spans="2:33" ht="16.95" customHeight="1" x14ac:dyDescent="0.3">
      <c r="B48" s="21"/>
      <c r="E48" s="75" t="s">
        <v>144</v>
      </c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7"/>
      <c r="S48" s="170">
        <f>MIN(M46:AF46)</f>
        <v>9</v>
      </c>
      <c r="T48" s="58"/>
      <c r="U48" s="58"/>
      <c r="V48" s="58"/>
      <c r="AG48" s="22"/>
    </row>
    <row r="49" spans="2:36" ht="16.95" customHeight="1" x14ac:dyDescent="0.3">
      <c r="B49" s="21"/>
      <c r="AG49" s="22"/>
    </row>
    <row r="50" spans="2:36" ht="16.95" customHeight="1" x14ac:dyDescent="0.3">
      <c r="B50" s="21"/>
      <c r="C50" s="14" t="s">
        <v>145</v>
      </c>
      <c r="D50" s="14"/>
      <c r="E50" s="14" t="s">
        <v>197</v>
      </c>
      <c r="AG50" s="22"/>
      <c r="AJ50"/>
    </row>
    <row r="51" spans="2:36" ht="16.95" customHeight="1" x14ac:dyDescent="0.3">
      <c r="B51" s="21"/>
      <c r="AG51" s="22"/>
    </row>
    <row r="52" spans="2:36" ht="37.200000000000003" customHeight="1" x14ac:dyDescent="0.3">
      <c r="B52" s="21"/>
      <c r="E52" s="196" t="s">
        <v>3</v>
      </c>
      <c r="F52" s="196"/>
      <c r="G52" s="195" t="s">
        <v>13</v>
      </c>
      <c r="H52" s="195"/>
      <c r="I52" s="195"/>
      <c r="J52" s="192" t="s">
        <v>4</v>
      </c>
      <c r="K52" s="192"/>
      <c r="L52" s="192"/>
      <c r="M52" s="192"/>
      <c r="N52" s="192" t="s">
        <v>5</v>
      </c>
      <c r="O52" s="192"/>
      <c r="P52" s="192"/>
      <c r="Q52" s="197"/>
      <c r="R52" s="198" t="s">
        <v>11</v>
      </c>
      <c r="S52" s="198"/>
      <c r="T52" s="198"/>
      <c r="U52" s="198"/>
      <c r="V52" s="198" t="s">
        <v>8</v>
      </c>
      <c r="W52" s="198"/>
      <c r="X52" s="198"/>
      <c r="Y52" s="198"/>
      <c r="Z52" s="199" t="s">
        <v>6</v>
      </c>
      <c r="AA52" s="192"/>
      <c r="AB52" s="192"/>
      <c r="AC52" s="192"/>
      <c r="AD52" s="192"/>
      <c r="AE52" s="192"/>
      <c r="AF52" s="192"/>
      <c r="AG52" s="22"/>
    </row>
    <row r="53" spans="2:36" ht="16.95" customHeight="1" x14ac:dyDescent="0.3">
      <c r="B53" s="21"/>
      <c r="E53" s="88">
        <v>1</v>
      </c>
      <c r="F53" s="88"/>
      <c r="G53" s="88" t="s">
        <v>153</v>
      </c>
      <c r="H53" s="88"/>
      <c r="I53" s="88"/>
      <c r="J53" s="84">
        <v>17.3</v>
      </c>
      <c r="K53" s="85"/>
      <c r="L53" s="85"/>
      <c r="M53" s="85"/>
      <c r="N53" s="85">
        <v>17.414999999999999</v>
      </c>
      <c r="O53" s="85"/>
      <c r="P53" s="85"/>
      <c r="Q53" s="85"/>
      <c r="R53" s="90">
        <f>IFERROR(((N53-J53)/J53),0)</f>
        <v>6.6473988439305449E-3</v>
      </c>
      <c r="S53" s="90"/>
      <c r="T53" s="90"/>
      <c r="U53" s="90"/>
      <c r="V53" s="78">
        <f>IF((ABS(R53)&lt;=0.05),9,IF((ABS(R53)&lt;=0.1),6,1))</f>
        <v>9</v>
      </c>
      <c r="W53" s="78"/>
      <c r="X53" s="78">
        <f>(P53-J53)/J53</f>
        <v>-1</v>
      </c>
      <c r="Y53" s="78"/>
      <c r="Z53" s="84" t="s">
        <v>263</v>
      </c>
      <c r="AA53" s="85"/>
      <c r="AB53" s="85"/>
      <c r="AC53" s="85"/>
      <c r="AD53" s="85"/>
      <c r="AE53" s="85"/>
      <c r="AF53" s="85"/>
      <c r="AG53" s="22"/>
    </row>
    <row r="54" spans="2:36" ht="16.95" customHeight="1" x14ac:dyDescent="0.3">
      <c r="B54" s="21"/>
      <c r="E54" s="88">
        <v>2</v>
      </c>
      <c r="F54" s="88"/>
      <c r="G54" s="88" t="s">
        <v>154</v>
      </c>
      <c r="H54" s="88"/>
      <c r="I54" s="88"/>
      <c r="J54" s="84">
        <v>26</v>
      </c>
      <c r="K54" s="85"/>
      <c r="L54" s="85"/>
      <c r="M54" s="85"/>
      <c r="N54" s="85">
        <v>26.172999999999998</v>
      </c>
      <c r="O54" s="85"/>
      <c r="P54" s="85"/>
      <c r="Q54" s="85"/>
      <c r="R54" s="90">
        <f t="shared" ref="R54" si="29">IFERROR(((N54-J54)/J54),0)</f>
        <v>6.6538461538460875E-3</v>
      </c>
      <c r="S54" s="90"/>
      <c r="T54" s="90"/>
      <c r="U54" s="90"/>
      <c r="V54" s="78">
        <f>IF((ABS(R54)&lt;=0.05),9,IF((ABS(R54)&lt;=0.1),6,1))</f>
        <v>9</v>
      </c>
      <c r="W54" s="78"/>
      <c r="X54" s="78">
        <f t="shared" ref="X54" si="30">(P54-J54)/J54</f>
        <v>-1</v>
      </c>
      <c r="Y54" s="78"/>
      <c r="Z54" s="84" t="s">
        <v>264</v>
      </c>
      <c r="AA54" s="85"/>
      <c r="AB54" s="85"/>
      <c r="AC54" s="85"/>
      <c r="AD54" s="85"/>
      <c r="AE54" s="85"/>
      <c r="AF54" s="85"/>
      <c r="AG54" s="22"/>
    </row>
    <row r="55" spans="2:36" ht="16.95" customHeight="1" x14ac:dyDescent="0.3">
      <c r="B55" s="21"/>
      <c r="E55" s="88">
        <v>3</v>
      </c>
      <c r="F55" s="88"/>
      <c r="G55" s="88" t="s">
        <v>185</v>
      </c>
      <c r="H55" s="88"/>
      <c r="I55" s="88"/>
      <c r="J55" s="84"/>
      <c r="K55" s="85"/>
      <c r="L55" s="85"/>
      <c r="M55" s="85"/>
      <c r="N55" s="85"/>
      <c r="O55" s="85"/>
      <c r="P55" s="85"/>
      <c r="Q55" s="85"/>
      <c r="R55" s="90">
        <f>IFERROR(((N55-J55)/J55),0)</f>
        <v>0</v>
      </c>
      <c r="S55" s="90"/>
      <c r="T55" s="90"/>
      <c r="U55" s="90"/>
      <c r="V55" s="78">
        <f>IF((ABS(R55)&lt;=0.05),9,IF((ABS(R55)&lt;=0.1),6,1))</f>
        <v>9</v>
      </c>
      <c r="W55" s="78"/>
      <c r="X55" s="78" t="e">
        <f>(P55-J55)/J55</f>
        <v>#DIV/0!</v>
      </c>
      <c r="Y55" s="78"/>
      <c r="Z55" s="84"/>
      <c r="AA55" s="85"/>
      <c r="AB55" s="85"/>
      <c r="AC55" s="85"/>
      <c r="AD55" s="85"/>
      <c r="AE55" s="85"/>
      <c r="AF55" s="85"/>
      <c r="AG55" s="22"/>
    </row>
    <row r="56" spans="2:36" ht="16.95" customHeight="1" x14ac:dyDescent="0.3">
      <c r="B56" s="21"/>
      <c r="E56" s="88">
        <v>4</v>
      </c>
      <c r="F56" s="88"/>
      <c r="G56" s="88" t="s">
        <v>186</v>
      </c>
      <c r="H56" s="88"/>
      <c r="I56" s="88"/>
      <c r="J56" s="84"/>
      <c r="K56" s="85"/>
      <c r="L56" s="85"/>
      <c r="M56" s="85"/>
      <c r="N56" s="85"/>
      <c r="O56" s="85"/>
      <c r="P56" s="85"/>
      <c r="Q56" s="85"/>
      <c r="R56" s="90">
        <f t="shared" ref="R56" si="31">IFERROR(((N56-J56)/J56),0)</f>
        <v>0</v>
      </c>
      <c r="S56" s="90"/>
      <c r="T56" s="90"/>
      <c r="U56" s="90"/>
      <c r="V56" s="78">
        <f>IF((ABS(R56)&lt;=0.05),9,IF((ABS(R56)&lt;=0.1),6,1))</f>
        <v>9</v>
      </c>
      <c r="W56" s="78"/>
      <c r="X56" s="78" t="e">
        <f t="shared" ref="X56" si="32">(P56-J56)/J56</f>
        <v>#DIV/0!</v>
      </c>
      <c r="Y56" s="78"/>
      <c r="Z56" s="84"/>
      <c r="AA56" s="85"/>
      <c r="AB56" s="85"/>
      <c r="AC56" s="85"/>
      <c r="AD56" s="85"/>
      <c r="AE56" s="85"/>
      <c r="AF56" s="85"/>
      <c r="AG56" s="22"/>
    </row>
    <row r="57" spans="2:36" ht="16.95" customHeight="1" x14ac:dyDescent="0.3">
      <c r="B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G57" s="22"/>
    </row>
    <row r="58" spans="2:36" ht="16.95" customHeight="1" x14ac:dyDescent="0.3">
      <c r="B58" s="21"/>
      <c r="E58" s="190" t="s">
        <v>155</v>
      </c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78">
        <f>MIN(V53:V56)</f>
        <v>9</v>
      </c>
      <c r="T58" s="78"/>
      <c r="U58" s="78"/>
      <c r="V58" s="78"/>
      <c r="AG58" s="22"/>
    </row>
    <row r="59" spans="2:36" ht="16.95" customHeight="1" x14ac:dyDescent="0.3">
      <c r="B59" s="21"/>
      <c r="AG59" s="22"/>
    </row>
    <row r="60" spans="2:36" ht="16.95" customHeight="1" x14ac:dyDescent="0.3">
      <c r="B60" s="21"/>
      <c r="C60" s="14" t="s">
        <v>146</v>
      </c>
      <c r="D60" s="14"/>
      <c r="E60" s="14" t="s">
        <v>156</v>
      </c>
      <c r="AG60" s="22"/>
      <c r="AJ60"/>
    </row>
    <row r="61" spans="2:36" ht="16.95" customHeight="1" x14ac:dyDescent="0.3">
      <c r="B61" s="21"/>
      <c r="AG61" s="22"/>
    </row>
    <row r="62" spans="2:36" ht="37.200000000000003" customHeight="1" x14ac:dyDescent="0.3">
      <c r="B62" s="21"/>
      <c r="E62" s="196" t="s">
        <v>3</v>
      </c>
      <c r="F62" s="196"/>
      <c r="G62" s="195" t="s">
        <v>13</v>
      </c>
      <c r="H62" s="195"/>
      <c r="I62" s="195"/>
      <c r="J62" s="192" t="s">
        <v>199</v>
      </c>
      <c r="K62" s="192"/>
      <c r="L62" s="192"/>
      <c r="M62" s="192"/>
      <c r="N62" s="192" t="s">
        <v>198</v>
      </c>
      <c r="O62" s="192"/>
      <c r="P62" s="192"/>
      <c r="Q62" s="197"/>
      <c r="R62" s="198" t="s">
        <v>11</v>
      </c>
      <c r="S62" s="198"/>
      <c r="T62" s="198"/>
      <c r="U62" s="198"/>
      <c r="V62" s="198" t="s">
        <v>8</v>
      </c>
      <c r="W62" s="198"/>
      <c r="X62" s="198"/>
      <c r="Y62" s="198"/>
      <c r="Z62" s="199" t="s">
        <v>6</v>
      </c>
      <c r="AA62" s="192"/>
      <c r="AB62" s="192"/>
      <c r="AC62" s="192"/>
      <c r="AD62" s="192"/>
      <c r="AE62" s="192"/>
      <c r="AF62" s="192"/>
      <c r="AG62" s="22"/>
    </row>
    <row r="63" spans="2:36" ht="16.95" customHeight="1" x14ac:dyDescent="0.3">
      <c r="B63" s="21"/>
      <c r="E63" s="88">
        <v>1</v>
      </c>
      <c r="F63" s="88"/>
      <c r="G63" s="88" t="s">
        <v>153</v>
      </c>
      <c r="H63" s="88"/>
      <c r="I63" s="88"/>
      <c r="J63" s="84">
        <v>0.5</v>
      </c>
      <c r="K63" s="85"/>
      <c r="L63" s="85"/>
      <c r="M63" s="85"/>
      <c r="N63" s="85">
        <v>0.52</v>
      </c>
      <c r="O63" s="85"/>
      <c r="P63" s="85"/>
      <c r="Q63" s="85"/>
      <c r="R63" s="90">
        <f>IFERROR(((N63-J63)),0)</f>
        <v>2.0000000000000018E-2</v>
      </c>
      <c r="S63" s="90"/>
      <c r="T63" s="90"/>
      <c r="U63" s="90"/>
      <c r="V63" s="78">
        <f>IF((ABS(R63)&lt;=0.05),9,IF((ABS(R63)&lt;=0.1),6,1))</f>
        <v>9</v>
      </c>
      <c r="W63" s="78"/>
      <c r="X63" s="78">
        <f>(P63-J63)/J63</f>
        <v>-1</v>
      </c>
      <c r="Y63" s="78"/>
      <c r="Z63" s="84" t="s">
        <v>263</v>
      </c>
      <c r="AA63" s="85"/>
      <c r="AB63" s="85"/>
      <c r="AC63" s="85"/>
      <c r="AD63" s="85"/>
      <c r="AE63" s="85"/>
      <c r="AF63" s="85"/>
      <c r="AG63" s="22"/>
    </row>
    <row r="64" spans="2:36" ht="16.95" customHeight="1" x14ac:dyDescent="0.3">
      <c r="B64" s="21"/>
      <c r="E64" s="88">
        <v>2</v>
      </c>
      <c r="F64" s="88"/>
      <c r="G64" s="88" t="s">
        <v>154</v>
      </c>
      <c r="H64" s="88"/>
      <c r="I64" s="88"/>
      <c r="J64" s="84">
        <v>0.3</v>
      </c>
      <c r="K64" s="85"/>
      <c r="L64" s="85"/>
      <c r="M64" s="85"/>
      <c r="N64" s="85">
        <v>0.318</v>
      </c>
      <c r="O64" s="85"/>
      <c r="P64" s="85"/>
      <c r="Q64" s="85"/>
      <c r="R64" s="90">
        <f t="shared" ref="R64:R66" si="33">IFERROR(((N64-J64)),0)</f>
        <v>1.8000000000000016E-2</v>
      </c>
      <c r="S64" s="90"/>
      <c r="T64" s="90"/>
      <c r="U64" s="90"/>
      <c r="V64" s="78">
        <f>IF((ABS(R64)&lt;=0.05),9,IF((ABS(R64)&lt;=0.1),6,1))</f>
        <v>9</v>
      </c>
      <c r="W64" s="78"/>
      <c r="X64" s="78">
        <f t="shared" ref="X64" si="34">(P64-J64)/J64</f>
        <v>-1</v>
      </c>
      <c r="Y64" s="78"/>
      <c r="Z64" s="84" t="s">
        <v>264</v>
      </c>
      <c r="AA64" s="85"/>
      <c r="AB64" s="85"/>
      <c r="AC64" s="85"/>
      <c r="AD64" s="85"/>
      <c r="AE64" s="85"/>
      <c r="AF64" s="85"/>
      <c r="AG64" s="22"/>
    </row>
    <row r="65" spans="2:33" ht="16.95" customHeight="1" x14ac:dyDescent="0.3">
      <c r="B65" s="21"/>
      <c r="E65" s="88">
        <v>3</v>
      </c>
      <c r="F65" s="88"/>
      <c r="G65" s="88" t="s">
        <v>185</v>
      </c>
      <c r="H65" s="88"/>
      <c r="I65" s="88"/>
      <c r="J65" s="84"/>
      <c r="K65" s="85"/>
      <c r="L65" s="85"/>
      <c r="M65" s="85"/>
      <c r="N65" s="85"/>
      <c r="O65" s="85"/>
      <c r="P65" s="85"/>
      <c r="Q65" s="85"/>
      <c r="R65" s="90">
        <f t="shared" si="33"/>
        <v>0</v>
      </c>
      <c r="S65" s="90"/>
      <c r="T65" s="90"/>
      <c r="U65" s="90"/>
      <c r="V65" s="78">
        <f>IF((ABS(R65)&lt;=0.05),9,IF((ABS(R65)&lt;=0.1),6,1))</f>
        <v>9</v>
      </c>
      <c r="W65" s="78"/>
      <c r="X65" s="78" t="e">
        <f>(P65-J65)/J65</f>
        <v>#DIV/0!</v>
      </c>
      <c r="Y65" s="78"/>
      <c r="Z65" s="84"/>
      <c r="AA65" s="85"/>
      <c r="AB65" s="85"/>
      <c r="AC65" s="85"/>
      <c r="AD65" s="85"/>
      <c r="AE65" s="85"/>
      <c r="AF65" s="85"/>
      <c r="AG65" s="22"/>
    </row>
    <row r="66" spans="2:33" ht="16.95" customHeight="1" x14ac:dyDescent="0.3">
      <c r="B66" s="21"/>
      <c r="E66" s="88">
        <v>4</v>
      </c>
      <c r="F66" s="88"/>
      <c r="G66" s="88" t="s">
        <v>186</v>
      </c>
      <c r="H66" s="88"/>
      <c r="I66" s="88"/>
      <c r="J66" s="84"/>
      <c r="K66" s="85"/>
      <c r="L66" s="85"/>
      <c r="M66" s="85"/>
      <c r="N66" s="85"/>
      <c r="O66" s="85"/>
      <c r="P66" s="85"/>
      <c r="Q66" s="85"/>
      <c r="R66" s="90">
        <f t="shared" si="33"/>
        <v>0</v>
      </c>
      <c r="S66" s="90"/>
      <c r="T66" s="90"/>
      <c r="U66" s="90"/>
      <c r="V66" s="78">
        <f>IF((ABS(R66)&lt;=0.05),9,IF((ABS(R66)&lt;=0.1),6,1))</f>
        <v>9</v>
      </c>
      <c r="W66" s="78"/>
      <c r="X66" s="78" t="e">
        <f t="shared" ref="X66" si="35">(P66-J66)/J66</f>
        <v>#DIV/0!</v>
      </c>
      <c r="Y66" s="78"/>
      <c r="Z66" s="84"/>
      <c r="AA66" s="85"/>
      <c r="AB66" s="85"/>
      <c r="AC66" s="85"/>
      <c r="AD66" s="85"/>
      <c r="AE66" s="85"/>
      <c r="AF66" s="85"/>
      <c r="AG66" s="22"/>
    </row>
    <row r="67" spans="2:33" ht="16.95" customHeight="1" x14ac:dyDescent="0.3">
      <c r="B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G67" s="22"/>
    </row>
    <row r="68" spans="2:33" ht="16.95" customHeight="1" x14ac:dyDescent="0.3">
      <c r="B68" s="21"/>
      <c r="E68" s="190" t="s">
        <v>157</v>
      </c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78">
        <f>MIN(V63:V66)</f>
        <v>9</v>
      </c>
      <c r="T68" s="78"/>
      <c r="U68" s="78"/>
      <c r="V68" s="78"/>
      <c r="AG68" s="22"/>
    </row>
    <row r="69" spans="2:33" ht="16.95" customHeight="1" x14ac:dyDescent="0.3">
      <c r="B69" s="21"/>
      <c r="AG69" s="22"/>
    </row>
    <row r="70" spans="2:33" ht="16.95" customHeight="1" x14ac:dyDescent="0.3">
      <c r="B70" s="21"/>
      <c r="C70" s="14" t="s">
        <v>158</v>
      </c>
      <c r="D70" s="14"/>
      <c r="E70" s="14" t="s">
        <v>15</v>
      </c>
      <c r="AG70" s="22"/>
    </row>
    <row r="71" spans="2:33" ht="16.95" customHeight="1" x14ac:dyDescent="0.3">
      <c r="B71" s="21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22"/>
    </row>
    <row r="72" spans="2:33" ht="16.95" customHeight="1" x14ac:dyDescent="0.3">
      <c r="B72" s="21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22"/>
    </row>
    <row r="73" spans="2:33" ht="16.95" customHeight="1" x14ac:dyDescent="0.3">
      <c r="B73" s="21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22"/>
    </row>
    <row r="74" spans="2:33" ht="16.95" customHeight="1" x14ac:dyDescent="0.3">
      <c r="B74" s="21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22"/>
    </row>
    <row r="75" spans="2:33" ht="16.95" customHeight="1" x14ac:dyDescent="0.3">
      <c r="B75" s="21"/>
      <c r="AG75" s="22"/>
    </row>
    <row r="76" spans="2:33" ht="16.95" customHeight="1" x14ac:dyDescent="0.3">
      <c r="B76" s="21"/>
      <c r="C76" s="14" t="s">
        <v>159</v>
      </c>
      <c r="D76" s="14"/>
      <c r="E76" s="14" t="s">
        <v>17</v>
      </c>
      <c r="F76" s="14"/>
      <c r="AG76" s="22"/>
    </row>
    <row r="77" spans="2:33" ht="16.95" customHeight="1" x14ac:dyDescent="0.3">
      <c r="B77" s="21"/>
      <c r="E77" s="75" t="s">
        <v>211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7"/>
      <c r="S77" s="170">
        <f>MIN(S24,S48,S58,S68)</f>
        <v>6</v>
      </c>
      <c r="T77" s="58"/>
      <c r="U77" s="58"/>
      <c r="V77" s="58"/>
      <c r="AG77" s="22"/>
    </row>
    <row r="78" spans="2:33" ht="16.95" customHeight="1" x14ac:dyDescent="0.3">
      <c r="B78" s="21"/>
      <c r="AG78" s="22"/>
    </row>
    <row r="79" spans="2:33" ht="16.95" customHeight="1" x14ac:dyDescent="0.3">
      <c r="B79" s="21"/>
      <c r="C79" s="60" t="s">
        <v>18</v>
      </c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 t="s">
        <v>19</v>
      </c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22"/>
    </row>
    <row r="80" spans="2:33" ht="16.95" customHeight="1" x14ac:dyDescent="0.3">
      <c r="B80" s="21"/>
      <c r="C80" s="39">
        <v>1</v>
      </c>
      <c r="D80" s="57" t="s">
        <v>265</v>
      </c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22"/>
    </row>
    <row r="81" spans="2:33" ht="16.95" customHeight="1" x14ac:dyDescent="0.3">
      <c r="B81" s="21"/>
      <c r="C81" s="39">
        <v>2</v>
      </c>
      <c r="D81" s="57" t="s">
        <v>234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22"/>
    </row>
    <row r="82" spans="2:33" ht="16.95" customHeight="1" x14ac:dyDescent="0.3">
      <c r="B82" s="21"/>
      <c r="C82" s="39">
        <v>3</v>
      </c>
      <c r="D82" s="57" t="s">
        <v>245</v>
      </c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22"/>
    </row>
    <row r="83" spans="2:33" ht="16.95" customHeight="1" x14ac:dyDescent="0.3">
      <c r="B83" s="21"/>
      <c r="C83" s="39">
        <v>4</v>
      </c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22"/>
    </row>
    <row r="84" spans="2:33" ht="16.95" customHeight="1" x14ac:dyDescent="0.3">
      <c r="B84" s="21"/>
      <c r="C84" s="39">
        <v>5</v>
      </c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 t="s">
        <v>266</v>
      </c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22"/>
    </row>
    <row r="85" spans="2:33" ht="16.95" customHeight="1" thickBot="1" x14ac:dyDescent="0.35">
      <c r="B85" s="2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6"/>
    </row>
  </sheetData>
  <sheetProtection algorithmName="SHA-512" hashValue="6YMVf/HTo7lbj7xnyQqp5n7kkIRraQH0k+LzNp5gKQ8qQzxUQUSBM0AR3bChd9uLbaZLNBWGG+yGsLhMF+Rb+A==" saltValue="jHyu/uWqtZd/hmGhy0IrSA==" spinCount="100000" sheet="1" scenarios="1"/>
  <mergeCells count="249">
    <mergeCell ref="N64:Q64"/>
    <mergeCell ref="R64:U64"/>
    <mergeCell ref="Z63:AF63"/>
    <mergeCell ref="E58:R58"/>
    <mergeCell ref="Z66:AF66"/>
    <mergeCell ref="S77:V77"/>
    <mergeCell ref="E77:R77"/>
    <mergeCell ref="S48:V48"/>
    <mergeCell ref="E48:R48"/>
    <mergeCell ref="E66:F66"/>
    <mergeCell ref="G66:I66"/>
    <mergeCell ref="J66:M66"/>
    <mergeCell ref="N66:Q66"/>
    <mergeCell ref="R66:U66"/>
    <mergeCell ref="V66:Y66"/>
    <mergeCell ref="Z64:AF64"/>
    <mergeCell ref="E65:F65"/>
    <mergeCell ref="G65:I65"/>
    <mergeCell ref="J65:M65"/>
    <mergeCell ref="N65:Q65"/>
    <mergeCell ref="R65:U65"/>
    <mergeCell ref="V65:Y65"/>
    <mergeCell ref="Z65:AF65"/>
    <mergeCell ref="E64:F64"/>
    <mergeCell ref="G64:I64"/>
    <mergeCell ref="J64:M64"/>
    <mergeCell ref="C79:Q79"/>
    <mergeCell ref="R79:AF79"/>
    <mergeCell ref="V64:Y64"/>
    <mergeCell ref="Z55:AF55"/>
    <mergeCell ref="E56:F56"/>
    <mergeCell ref="G56:I56"/>
    <mergeCell ref="J56:M56"/>
    <mergeCell ref="N56:Q56"/>
    <mergeCell ref="R56:U56"/>
    <mergeCell ref="V56:Y56"/>
    <mergeCell ref="Z56:AF56"/>
    <mergeCell ref="E55:F55"/>
    <mergeCell ref="G55:I55"/>
    <mergeCell ref="J55:M55"/>
    <mergeCell ref="N55:Q55"/>
    <mergeCell ref="R55:U55"/>
    <mergeCell ref="V55:Y55"/>
    <mergeCell ref="Z62:AF62"/>
    <mergeCell ref="E63:F63"/>
    <mergeCell ref="G63:I63"/>
    <mergeCell ref="J63:M63"/>
    <mergeCell ref="N63:Q63"/>
    <mergeCell ref="R63:U63"/>
    <mergeCell ref="V63:Y63"/>
    <mergeCell ref="N52:Q52"/>
    <mergeCell ref="R52:U52"/>
    <mergeCell ref="D84:M84"/>
    <mergeCell ref="N84:Q84"/>
    <mergeCell ref="R84:AF84"/>
    <mergeCell ref="E54:F54"/>
    <mergeCell ref="G54:I54"/>
    <mergeCell ref="J54:M54"/>
    <mergeCell ref="N54:Q54"/>
    <mergeCell ref="R54:U54"/>
    <mergeCell ref="V54:Y54"/>
    <mergeCell ref="Z54:AF54"/>
    <mergeCell ref="D80:M80"/>
    <mergeCell ref="N80:Q80"/>
    <mergeCell ref="R80:AF83"/>
    <mergeCell ref="D81:M81"/>
    <mergeCell ref="N81:Q81"/>
    <mergeCell ref="D82:M82"/>
    <mergeCell ref="N82:Q82"/>
    <mergeCell ref="D83:M83"/>
    <mergeCell ref="N83:Q83"/>
    <mergeCell ref="E68:R68"/>
    <mergeCell ref="S68:V68"/>
    <mergeCell ref="E71:AF74"/>
    <mergeCell ref="E46:L46"/>
    <mergeCell ref="M46:Q46"/>
    <mergeCell ref="R46:V46"/>
    <mergeCell ref="W46:AA46"/>
    <mergeCell ref="AB46:AF46"/>
    <mergeCell ref="S58:V58"/>
    <mergeCell ref="E62:F62"/>
    <mergeCell ref="G62:I62"/>
    <mergeCell ref="J62:M62"/>
    <mergeCell ref="N62:Q62"/>
    <mergeCell ref="R62:U62"/>
    <mergeCell ref="V62:Y62"/>
    <mergeCell ref="V52:Y52"/>
    <mergeCell ref="Z52:AF52"/>
    <mergeCell ref="E53:F53"/>
    <mergeCell ref="G53:I53"/>
    <mergeCell ref="J53:M53"/>
    <mergeCell ref="N53:Q53"/>
    <mergeCell ref="R53:U53"/>
    <mergeCell ref="V53:Y53"/>
    <mergeCell ref="Z53:AF53"/>
    <mergeCell ref="E52:F52"/>
    <mergeCell ref="G52:I52"/>
    <mergeCell ref="J52:M52"/>
    <mergeCell ref="I44:L44"/>
    <mergeCell ref="M44:Q44"/>
    <mergeCell ref="R44:V44"/>
    <mergeCell ref="W44:AA44"/>
    <mergeCell ref="AB44:AF44"/>
    <mergeCell ref="E45:L45"/>
    <mergeCell ref="M45:Q45"/>
    <mergeCell ref="R45:V45"/>
    <mergeCell ref="W45:AA45"/>
    <mergeCell ref="AB45:AF45"/>
    <mergeCell ref="E41:H44"/>
    <mergeCell ref="R42:V42"/>
    <mergeCell ref="W42:AA42"/>
    <mergeCell ref="AB42:AF42"/>
    <mergeCell ref="I43:L43"/>
    <mergeCell ref="M43:Q43"/>
    <mergeCell ref="R43:V43"/>
    <mergeCell ref="W43:AA43"/>
    <mergeCell ref="AB43:AF43"/>
    <mergeCell ref="I41:L41"/>
    <mergeCell ref="M41:Q41"/>
    <mergeCell ref="R41:V41"/>
    <mergeCell ref="W41:AA41"/>
    <mergeCell ref="AB41:AF41"/>
    <mergeCell ref="I42:L42"/>
    <mergeCell ref="M42:Q42"/>
    <mergeCell ref="AB38:AF38"/>
    <mergeCell ref="I39:L39"/>
    <mergeCell ref="M39:Q39"/>
    <mergeCell ref="R39:V39"/>
    <mergeCell ref="W39:AA39"/>
    <mergeCell ref="AB39:AF39"/>
    <mergeCell ref="E37:H40"/>
    <mergeCell ref="I37:L37"/>
    <mergeCell ref="M37:Q37"/>
    <mergeCell ref="R37:V37"/>
    <mergeCell ref="W37:AA37"/>
    <mergeCell ref="AB37:AF37"/>
    <mergeCell ref="I38:L38"/>
    <mergeCell ref="M38:Q38"/>
    <mergeCell ref="R38:V38"/>
    <mergeCell ref="W38:AA38"/>
    <mergeCell ref="I40:L40"/>
    <mergeCell ref="M40:Q40"/>
    <mergeCell ref="R40:V40"/>
    <mergeCell ref="W40:AA40"/>
    <mergeCell ref="AB40:AF40"/>
    <mergeCell ref="I35:L35"/>
    <mergeCell ref="M35:Q35"/>
    <mergeCell ref="R35:V35"/>
    <mergeCell ref="W35:AA35"/>
    <mergeCell ref="AB35:AF35"/>
    <mergeCell ref="I36:L36"/>
    <mergeCell ref="M36:Q36"/>
    <mergeCell ref="R36:V36"/>
    <mergeCell ref="W36:AA36"/>
    <mergeCell ref="AB36:AF36"/>
    <mergeCell ref="E33:H36"/>
    <mergeCell ref="I33:L33"/>
    <mergeCell ref="M33:Q33"/>
    <mergeCell ref="R33:V33"/>
    <mergeCell ref="W33:AA33"/>
    <mergeCell ref="R30:V30"/>
    <mergeCell ref="W30:AA30"/>
    <mergeCell ref="AB30:AF30"/>
    <mergeCell ref="I31:L31"/>
    <mergeCell ref="M31:Q31"/>
    <mergeCell ref="R31:V31"/>
    <mergeCell ref="W31:AA31"/>
    <mergeCell ref="AB31:AF31"/>
    <mergeCell ref="AB33:AF33"/>
    <mergeCell ref="I34:L34"/>
    <mergeCell ref="M34:Q34"/>
    <mergeCell ref="R34:V34"/>
    <mergeCell ref="W34:AA34"/>
    <mergeCell ref="AB34:AF34"/>
    <mergeCell ref="I32:L32"/>
    <mergeCell ref="M32:Q32"/>
    <mergeCell ref="R32:V32"/>
    <mergeCell ref="W32:AA32"/>
    <mergeCell ref="AB32:AF32"/>
    <mergeCell ref="W28:AA28"/>
    <mergeCell ref="AB28:AF28"/>
    <mergeCell ref="E29:H32"/>
    <mergeCell ref="I29:L29"/>
    <mergeCell ref="M29:Q29"/>
    <mergeCell ref="R29:V29"/>
    <mergeCell ref="W29:AA29"/>
    <mergeCell ref="AB29:AF29"/>
    <mergeCell ref="I30:L30"/>
    <mergeCell ref="M30:Q30"/>
    <mergeCell ref="E28:H28"/>
    <mergeCell ref="I28:L28"/>
    <mergeCell ref="M28:Q28"/>
    <mergeCell ref="R28:V28"/>
    <mergeCell ref="S24:V24"/>
    <mergeCell ref="E24:R24"/>
    <mergeCell ref="AB21:AF21"/>
    <mergeCell ref="I22:L22"/>
    <mergeCell ref="M22:Q22"/>
    <mergeCell ref="R22:V22"/>
    <mergeCell ref="W22:AA22"/>
    <mergeCell ref="AB22:AF22"/>
    <mergeCell ref="E20:H22"/>
    <mergeCell ref="I20:L20"/>
    <mergeCell ref="M20:Q20"/>
    <mergeCell ref="R20:V20"/>
    <mergeCell ref="W20:AA20"/>
    <mergeCell ref="AB20:AF20"/>
    <mergeCell ref="I21:L21"/>
    <mergeCell ref="M21:Q21"/>
    <mergeCell ref="R21:V21"/>
    <mergeCell ref="W21:AA21"/>
    <mergeCell ref="AB16:AF16"/>
    <mergeCell ref="E17:H19"/>
    <mergeCell ref="I17:L17"/>
    <mergeCell ref="M17:Q17"/>
    <mergeCell ref="R17:V17"/>
    <mergeCell ref="W17:AA17"/>
    <mergeCell ref="AB17:AF17"/>
    <mergeCell ref="I18:L18"/>
    <mergeCell ref="M18:Q18"/>
    <mergeCell ref="R18:V18"/>
    <mergeCell ref="W18:AA18"/>
    <mergeCell ref="AB18:AF18"/>
    <mergeCell ref="I19:L19"/>
    <mergeCell ref="M19:Q19"/>
    <mergeCell ref="R19:V19"/>
    <mergeCell ref="W19:AA19"/>
    <mergeCell ref="AB19:AF19"/>
    <mergeCell ref="E16:H16"/>
    <mergeCell ref="I16:L16"/>
    <mergeCell ref="M16:Q16"/>
    <mergeCell ref="E4:F4"/>
    <mergeCell ref="H4:P4"/>
    <mergeCell ref="E5:F5"/>
    <mergeCell ref="H5:P5"/>
    <mergeCell ref="E9:J9"/>
    <mergeCell ref="L9:N9"/>
    <mergeCell ref="O9:P9"/>
    <mergeCell ref="R16:V16"/>
    <mergeCell ref="W16:AA16"/>
    <mergeCell ref="E12:J12"/>
    <mergeCell ref="L12:N12"/>
    <mergeCell ref="O12:P12"/>
    <mergeCell ref="E10:J10"/>
    <mergeCell ref="L10:N10"/>
    <mergeCell ref="O10:P10"/>
    <mergeCell ref="E11:J11"/>
    <mergeCell ref="L11:N11"/>
    <mergeCell ref="O11:P1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2" orientation="portrait" r:id="rId1"/>
  <rowBreaks count="1" manualBreakCount="1">
    <brk id="49" min="1" max="3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6A4FD-FBBF-4235-82C7-D5F5D9470187}">
  <sheetPr>
    <pageSetUpPr fitToPage="1"/>
  </sheetPr>
  <dimension ref="B1:AG51"/>
  <sheetViews>
    <sheetView tabSelected="1" view="pageBreakPreview" topLeftCell="A39" zoomScaleNormal="100" zoomScaleSheetLayoutView="100" workbookViewId="0">
      <selection activeCell="AA14" sqref="AA14"/>
    </sheetView>
  </sheetViews>
  <sheetFormatPr defaultColWidth="8.88671875" defaultRowHeight="16.95" customHeight="1" x14ac:dyDescent="0.3"/>
  <cols>
    <col min="1" max="1" width="4.21875" style="1" customWidth="1"/>
    <col min="2" max="11" width="3.6640625" style="1" customWidth="1"/>
    <col min="12" max="12" width="5.6640625" style="1" customWidth="1"/>
    <col min="13" max="107" width="3.6640625" style="1" customWidth="1"/>
    <col min="108" max="16384" width="8.88671875" style="1"/>
  </cols>
  <sheetData>
    <row r="1" spans="2:33" ht="16.95" customHeight="1" thickBot="1" x14ac:dyDescent="0.35"/>
    <row r="2" spans="2:33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3" ht="16.95" customHeight="1" x14ac:dyDescent="0.3">
      <c r="B3" s="21"/>
      <c r="C3" s="5"/>
      <c r="D3" s="6"/>
      <c r="E3" s="42" t="s">
        <v>9</v>
      </c>
      <c r="F3" s="42"/>
      <c r="G3" s="4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2"/>
    </row>
    <row r="4" spans="2:33" ht="16.95" customHeight="1" x14ac:dyDescent="0.3">
      <c r="B4" s="21"/>
      <c r="C4" s="8"/>
      <c r="E4" s="128" t="s">
        <v>0</v>
      </c>
      <c r="F4" s="128"/>
      <c r="G4" s="14" t="s">
        <v>10</v>
      </c>
      <c r="H4" s="130" t="s">
        <v>228</v>
      </c>
      <c r="I4" s="130"/>
      <c r="J4" s="130"/>
      <c r="K4" s="130"/>
      <c r="L4" s="130"/>
      <c r="M4" s="130"/>
      <c r="N4" s="130"/>
      <c r="O4" s="130"/>
      <c r="P4" s="130"/>
      <c r="AF4" s="10"/>
      <c r="AG4" s="22"/>
    </row>
    <row r="5" spans="2:33" ht="16.95" customHeight="1" x14ac:dyDescent="0.3">
      <c r="B5" s="21"/>
      <c r="C5" s="11"/>
      <c r="D5" s="12"/>
      <c r="E5" s="129" t="s">
        <v>1</v>
      </c>
      <c r="F5" s="129"/>
      <c r="G5" s="43" t="s">
        <v>10</v>
      </c>
      <c r="H5" s="145" t="s">
        <v>228</v>
      </c>
      <c r="I5" s="145"/>
      <c r="J5" s="145"/>
      <c r="K5" s="145"/>
      <c r="L5" s="145"/>
      <c r="M5" s="145"/>
      <c r="N5" s="145"/>
      <c r="O5" s="145"/>
      <c r="P5" s="145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  <c r="AG5" s="22"/>
    </row>
    <row r="6" spans="2:33" ht="16.95" customHeight="1" x14ac:dyDescent="0.3">
      <c r="B6" s="21"/>
      <c r="E6" s="9"/>
      <c r="F6" s="9"/>
      <c r="H6" s="2"/>
      <c r="I6" s="2"/>
      <c r="J6" s="2"/>
      <c r="K6" s="2"/>
      <c r="L6" s="2"/>
      <c r="M6" s="2"/>
      <c r="N6" s="2"/>
      <c r="O6" s="2"/>
      <c r="P6" s="2"/>
      <c r="AG6" s="22"/>
    </row>
    <row r="7" spans="2:33" ht="16.95" customHeight="1" x14ac:dyDescent="0.3">
      <c r="B7" s="21"/>
      <c r="C7" s="14">
        <v>4</v>
      </c>
      <c r="D7" s="14"/>
      <c r="E7" s="14" t="s">
        <v>212</v>
      </c>
      <c r="F7" s="9"/>
      <c r="H7" s="2"/>
      <c r="I7" s="2"/>
      <c r="J7" s="2"/>
      <c r="K7" s="2"/>
      <c r="L7" s="2"/>
      <c r="M7" s="2"/>
      <c r="N7" s="2"/>
      <c r="O7" s="2"/>
      <c r="P7" s="2"/>
      <c r="AG7" s="22"/>
    </row>
    <row r="8" spans="2:33" ht="16.95" customHeight="1" thickBot="1" x14ac:dyDescent="0.35">
      <c r="B8" s="21"/>
      <c r="C8" s="14"/>
      <c r="D8" s="14"/>
      <c r="E8" s="14"/>
      <c r="F8" s="9"/>
      <c r="H8" s="2"/>
      <c r="I8" s="2"/>
      <c r="J8" s="2"/>
      <c r="K8" s="2"/>
      <c r="L8" s="2"/>
      <c r="M8" s="2"/>
      <c r="N8" s="2"/>
      <c r="O8" s="2"/>
      <c r="P8" s="2"/>
      <c r="AG8" s="22"/>
    </row>
    <row r="9" spans="2:33" ht="16.95" customHeight="1" x14ac:dyDescent="0.3">
      <c r="B9" s="21"/>
      <c r="E9" s="146" t="s">
        <v>213</v>
      </c>
      <c r="F9" s="147"/>
      <c r="G9" s="147"/>
      <c r="H9" s="147"/>
      <c r="I9" s="147"/>
      <c r="J9" s="147"/>
      <c r="K9" s="48" t="s">
        <v>10</v>
      </c>
      <c r="L9" s="148">
        <v>0.95</v>
      </c>
      <c r="M9" s="143"/>
      <c r="N9" s="143"/>
      <c r="O9" s="143" t="s">
        <v>116</v>
      </c>
      <c r="P9" s="144"/>
      <c r="AG9" s="22"/>
    </row>
    <row r="10" spans="2:33" ht="16.95" customHeight="1" thickBot="1" x14ac:dyDescent="0.35">
      <c r="B10" s="21"/>
      <c r="E10" s="149" t="s">
        <v>214</v>
      </c>
      <c r="F10" s="150"/>
      <c r="G10" s="150"/>
      <c r="H10" s="150"/>
      <c r="I10" s="150"/>
      <c r="J10" s="150"/>
      <c r="K10" s="50" t="s">
        <v>10</v>
      </c>
      <c r="L10" s="151">
        <v>0.17</v>
      </c>
      <c r="M10" s="111"/>
      <c r="N10" s="111"/>
      <c r="O10" s="111"/>
      <c r="P10" s="112"/>
      <c r="AG10" s="22"/>
    </row>
    <row r="11" spans="2:33" ht="16.95" customHeight="1" x14ac:dyDescent="0.3">
      <c r="B11" s="21"/>
      <c r="AG11" s="22"/>
    </row>
    <row r="12" spans="2:33" ht="16.95" customHeight="1" x14ac:dyDescent="0.3">
      <c r="B12" s="21"/>
      <c r="C12" s="32" t="s">
        <v>217</v>
      </c>
      <c r="D12" s="14"/>
      <c r="E12" s="14" t="s">
        <v>215</v>
      </c>
      <c r="AG12" s="23"/>
    </row>
    <row r="13" spans="2:33" ht="16.95" customHeight="1" thickBot="1" x14ac:dyDescent="0.35">
      <c r="B13" s="21"/>
      <c r="AG13" s="22"/>
    </row>
    <row r="14" spans="2:33" ht="37.200000000000003" customHeight="1" thickBot="1" x14ac:dyDescent="0.35">
      <c r="B14" s="21"/>
      <c r="E14" s="164" t="s">
        <v>38</v>
      </c>
      <c r="F14" s="104"/>
      <c r="G14" s="104"/>
      <c r="H14" s="104"/>
      <c r="I14" s="104" t="s">
        <v>23</v>
      </c>
      <c r="J14" s="104"/>
      <c r="K14" s="104"/>
      <c r="L14" s="104"/>
      <c r="M14" s="92" t="s">
        <v>183</v>
      </c>
      <c r="N14" s="92"/>
      <c r="O14" s="92"/>
      <c r="P14" s="92"/>
      <c r="Q14" s="93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22"/>
    </row>
    <row r="15" spans="2:33" ht="16.95" customHeight="1" x14ac:dyDescent="0.3">
      <c r="B15" s="21"/>
      <c r="E15" s="94" t="s">
        <v>125</v>
      </c>
      <c r="F15" s="95"/>
      <c r="G15" s="95"/>
      <c r="H15" s="95"/>
      <c r="I15" s="155" t="s">
        <v>126</v>
      </c>
      <c r="J15" s="155"/>
      <c r="K15" s="155"/>
      <c r="L15" s="155"/>
      <c r="M15" s="156">
        <v>0.96</v>
      </c>
      <c r="N15" s="157"/>
      <c r="O15" s="157"/>
      <c r="P15" s="157"/>
      <c r="Q15" s="158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22"/>
    </row>
    <row r="16" spans="2:33" ht="16.95" customHeight="1" x14ac:dyDescent="0.3">
      <c r="B16" s="21"/>
      <c r="E16" s="87"/>
      <c r="F16" s="88"/>
      <c r="G16" s="88"/>
      <c r="H16" s="88"/>
      <c r="I16" s="159" t="s">
        <v>21</v>
      </c>
      <c r="J16" s="159"/>
      <c r="K16" s="159"/>
      <c r="L16" s="159"/>
      <c r="M16" s="160">
        <f>IFERROR(((M15-L9)/L9),0)</f>
        <v>1.0526315789473694E-2</v>
      </c>
      <c r="N16" s="160"/>
      <c r="O16" s="160"/>
      <c r="P16" s="160"/>
      <c r="Q16" s="161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7">
        <f>COUNTIF(M17:AF17,6)</f>
        <v>0</v>
      </c>
    </row>
    <row r="17" spans="2:33" ht="16.95" customHeight="1" x14ac:dyDescent="0.3">
      <c r="B17" s="21"/>
      <c r="E17" s="87"/>
      <c r="F17" s="88"/>
      <c r="G17" s="88"/>
      <c r="H17" s="88"/>
      <c r="I17" s="159" t="s">
        <v>8</v>
      </c>
      <c r="J17" s="159"/>
      <c r="K17" s="159"/>
      <c r="L17" s="159"/>
      <c r="M17" s="162">
        <f>IF((ABS(M16)&lt;=0.05),9,IF((ABS(M16)&lt;=0.1),6,1))</f>
        <v>9</v>
      </c>
      <c r="N17" s="162"/>
      <c r="O17" s="162"/>
      <c r="P17" s="162"/>
      <c r="Q17" s="163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7">
        <f>COUNTIF(M17:AF17,1)</f>
        <v>0</v>
      </c>
    </row>
    <row r="18" spans="2:33" ht="16.95" customHeight="1" x14ac:dyDescent="0.3">
      <c r="B18" s="21"/>
      <c r="E18" s="87" t="s">
        <v>127</v>
      </c>
      <c r="F18" s="88"/>
      <c r="G18" s="88"/>
      <c r="H18" s="88"/>
      <c r="I18" s="159" t="s">
        <v>126</v>
      </c>
      <c r="J18" s="159"/>
      <c r="K18" s="159"/>
      <c r="L18" s="159"/>
      <c r="M18" s="167">
        <v>0.874</v>
      </c>
      <c r="N18" s="168"/>
      <c r="O18" s="168"/>
      <c r="P18" s="168"/>
      <c r="Q18" s="169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2"/>
    </row>
    <row r="19" spans="2:33" ht="16.95" customHeight="1" x14ac:dyDescent="0.3">
      <c r="B19" s="21"/>
      <c r="E19" s="87"/>
      <c r="F19" s="88"/>
      <c r="G19" s="88"/>
      <c r="H19" s="88"/>
      <c r="I19" s="159" t="s">
        <v>128</v>
      </c>
      <c r="J19" s="159"/>
      <c r="K19" s="159"/>
      <c r="L19" s="159"/>
      <c r="M19" s="160">
        <f>IFERROR((M18/M15),0)</f>
        <v>0.91041666666666665</v>
      </c>
      <c r="N19" s="160"/>
      <c r="O19" s="160"/>
      <c r="P19" s="160"/>
      <c r="Q19" s="161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7">
        <f>COUNTIF(M20:AF20,6)</f>
        <v>1</v>
      </c>
    </row>
    <row r="20" spans="2:33" ht="16.95" customHeight="1" thickBot="1" x14ac:dyDescent="0.35">
      <c r="B20" s="21"/>
      <c r="E20" s="79"/>
      <c r="F20" s="80"/>
      <c r="G20" s="80"/>
      <c r="H20" s="80"/>
      <c r="I20" s="165" t="s">
        <v>8</v>
      </c>
      <c r="J20" s="165"/>
      <c r="K20" s="165"/>
      <c r="L20" s="165"/>
      <c r="M20" s="166">
        <f>IF((ABS(M19)&gt;=0.95),9,IF((ABS(M19)&gt;=0.9),6,IF((ABS(M19)=0),9,1)))</f>
        <v>6</v>
      </c>
      <c r="N20" s="166"/>
      <c r="O20" s="166"/>
      <c r="P20" s="166"/>
      <c r="Q20" s="182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7">
        <f>COUNTIF(M20:AF20,1)</f>
        <v>0</v>
      </c>
    </row>
    <row r="21" spans="2:33" ht="16.95" customHeight="1" x14ac:dyDescent="0.3">
      <c r="B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G21" s="22"/>
    </row>
    <row r="22" spans="2:33" ht="16.95" customHeight="1" x14ac:dyDescent="0.3">
      <c r="B22" s="21"/>
      <c r="E22" s="190" t="s">
        <v>129</v>
      </c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78">
        <f>MIN(M17,M20)</f>
        <v>6</v>
      </c>
      <c r="Q22" s="78"/>
      <c r="R22" s="78"/>
      <c r="S22" s="78"/>
      <c r="AG22" s="22"/>
    </row>
    <row r="23" spans="2:33" ht="16.95" customHeight="1" x14ac:dyDescent="0.3">
      <c r="B23" s="21"/>
      <c r="AG23" s="22"/>
    </row>
    <row r="24" spans="2:33" ht="16.95" customHeight="1" x14ac:dyDescent="0.3">
      <c r="B24" s="21"/>
      <c r="C24" s="32" t="s">
        <v>218</v>
      </c>
      <c r="D24" s="14"/>
      <c r="E24" s="14" t="s">
        <v>216</v>
      </c>
      <c r="AG24" s="22"/>
    </row>
    <row r="25" spans="2:33" ht="16.95" customHeight="1" thickBot="1" x14ac:dyDescent="0.35">
      <c r="B25" s="21"/>
      <c r="AG25" s="22"/>
    </row>
    <row r="26" spans="2:33" ht="37.200000000000003" customHeight="1" thickBot="1" x14ac:dyDescent="0.35">
      <c r="B26" s="21"/>
      <c r="E26" s="164" t="s">
        <v>131</v>
      </c>
      <c r="F26" s="104"/>
      <c r="G26" s="104"/>
      <c r="H26" s="104"/>
      <c r="I26" s="104" t="s">
        <v>23</v>
      </c>
      <c r="J26" s="104"/>
      <c r="K26" s="104"/>
      <c r="L26" s="104"/>
      <c r="M26" s="92" t="s">
        <v>132</v>
      </c>
      <c r="N26" s="92"/>
      <c r="O26" s="92"/>
      <c r="P26" s="92"/>
      <c r="Q26" s="92"/>
      <c r="R26" s="92" t="s">
        <v>133</v>
      </c>
      <c r="S26" s="92"/>
      <c r="T26" s="92"/>
      <c r="U26" s="92"/>
      <c r="V26" s="92"/>
      <c r="W26" s="92" t="s">
        <v>134</v>
      </c>
      <c r="X26" s="92"/>
      <c r="Y26" s="92"/>
      <c r="Z26" s="92"/>
      <c r="AA26" s="92"/>
      <c r="AB26" s="92" t="s">
        <v>135</v>
      </c>
      <c r="AC26" s="92"/>
      <c r="AD26" s="92"/>
      <c r="AE26" s="92"/>
      <c r="AF26" s="93"/>
      <c r="AG26" s="22"/>
    </row>
    <row r="27" spans="2:33" ht="16.95" customHeight="1" x14ac:dyDescent="0.3">
      <c r="B27" s="21"/>
      <c r="E27" s="94" t="s">
        <v>183</v>
      </c>
      <c r="F27" s="95"/>
      <c r="G27" s="95"/>
      <c r="H27" s="95"/>
      <c r="I27" s="155" t="s">
        <v>137</v>
      </c>
      <c r="J27" s="155"/>
      <c r="K27" s="155"/>
      <c r="L27" s="155"/>
      <c r="M27" s="174">
        <f>1.5*$L$9</f>
        <v>1.4249999999999998</v>
      </c>
      <c r="N27" s="174"/>
      <c r="O27" s="174"/>
      <c r="P27" s="174"/>
      <c r="Q27" s="174"/>
      <c r="R27" s="174">
        <f>2*$L$9</f>
        <v>1.9</v>
      </c>
      <c r="S27" s="174"/>
      <c r="T27" s="174"/>
      <c r="U27" s="174"/>
      <c r="V27" s="174"/>
      <c r="W27" s="174">
        <f>2.5*$L$9</f>
        <v>2.375</v>
      </c>
      <c r="X27" s="174"/>
      <c r="Y27" s="174"/>
      <c r="Z27" s="174"/>
      <c r="AA27" s="174"/>
      <c r="AB27" s="174">
        <f>3*$L$9</f>
        <v>2.8499999999999996</v>
      </c>
      <c r="AC27" s="174"/>
      <c r="AD27" s="174"/>
      <c r="AE27" s="174"/>
      <c r="AF27" s="175"/>
      <c r="AG27" s="27">
        <f>COUNTIF(L27:AF27,1)</f>
        <v>0</v>
      </c>
    </row>
    <row r="28" spans="2:33" ht="16.95" customHeight="1" x14ac:dyDescent="0.3">
      <c r="B28" s="21"/>
      <c r="E28" s="87"/>
      <c r="F28" s="88"/>
      <c r="G28" s="88"/>
      <c r="H28" s="88"/>
      <c r="I28" s="159" t="s">
        <v>138</v>
      </c>
      <c r="J28" s="159"/>
      <c r="K28" s="159"/>
      <c r="L28" s="159"/>
      <c r="M28" s="176">
        <f>120*$L$10/(((M27/$L$9)^1)-1)</f>
        <v>40.800000000000026</v>
      </c>
      <c r="N28" s="176"/>
      <c r="O28" s="176"/>
      <c r="P28" s="176"/>
      <c r="Q28" s="176"/>
      <c r="R28" s="176">
        <f t="shared" ref="R28" si="0">120*$L$10/(((R27/$L$9)^1)-1)</f>
        <v>20.400000000000002</v>
      </c>
      <c r="S28" s="176"/>
      <c r="T28" s="176"/>
      <c r="U28" s="176"/>
      <c r="V28" s="176"/>
      <c r="W28" s="176">
        <f t="shared" ref="W28" si="1">120*$L$10/(((W27/$L$9)^1)-1)</f>
        <v>13.600000000000001</v>
      </c>
      <c r="X28" s="176"/>
      <c r="Y28" s="176"/>
      <c r="Z28" s="176"/>
      <c r="AA28" s="176"/>
      <c r="AB28" s="176">
        <f>120*$L$10/(((AB27/$L$9)^1)-1)</f>
        <v>10.200000000000003</v>
      </c>
      <c r="AC28" s="176"/>
      <c r="AD28" s="176"/>
      <c r="AE28" s="176"/>
      <c r="AF28" s="176"/>
      <c r="AG28" s="27"/>
    </row>
    <row r="29" spans="2:33" ht="16.95" customHeight="1" x14ac:dyDescent="0.3">
      <c r="B29" s="21"/>
      <c r="E29" s="87"/>
      <c r="F29" s="88"/>
      <c r="G29" s="88"/>
      <c r="H29" s="88"/>
      <c r="I29" s="159" t="s">
        <v>139</v>
      </c>
      <c r="J29" s="159"/>
      <c r="K29" s="159"/>
      <c r="L29" s="159"/>
      <c r="M29" s="167">
        <v>41.13</v>
      </c>
      <c r="N29" s="168"/>
      <c r="O29" s="168"/>
      <c r="P29" s="168"/>
      <c r="Q29" s="168"/>
      <c r="R29" s="168">
        <v>20.468</v>
      </c>
      <c r="S29" s="168"/>
      <c r="T29" s="168"/>
      <c r="U29" s="168"/>
      <c r="V29" s="168"/>
      <c r="W29" s="168">
        <v>13.635999999999999</v>
      </c>
      <c r="X29" s="168"/>
      <c r="Y29" s="168"/>
      <c r="Z29" s="168"/>
      <c r="AA29" s="168"/>
      <c r="AB29" s="168">
        <v>10.224</v>
      </c>
      <c r="AC29" s="168"/>
      <c r="AD29" s="168"/>
      <c r="AE29" s="168"/>
      <c r="AF29" s="169"/>
      <c r="AG29" s="27"/>
    </row>
    <row r="30" spans="2:33" ht="16.95" customHeight="1" x14ac:dyDescent="0.3">
      <c r="B30" s="21"/>
      <c r="E30" s="87"/>
      <c r="F30" s="88"/>
      <c r="G30" s="88"/>
      <c r="H30" s="88"/>
      <c r="I30" s="159" t="s">
        <v>21</v>
      </c>
      <c r="J30" s="159"/>
      <c r="K30" s="159"/>
      <c r="L30" s="159"/>
      <c r="M30" s="160">
        <f>IFERROR(((M29-M28)/M28),0)</f>
        <v>8.0882352941170771E-3</v>
      </c>
      <c r="N30" s="160"/>
      <c r="O30" s="160"/>
      <c r="P30" s="160"/>
      <c r="Q30" s="160"/>
      <c r="R30" s="160">
        <f t="shared" ref="R30" si="2">IFERROR(((R29-R28)/R28),0)</f>
        <v>3.3333333333332273E-3</v>
      </c>
      <c r="S30" s="160"/>
      <c r="T30" s="160"/>
      <c r="U30" s="160"/>
      <c r="V30" s="160"/>
      <c r="W30" s="160">
        <f t="shared" ref="W30" si="3">IFERROR(((W29-W28)/W28),0)</f>
        <v>2.6470588235292507E-3</v>
      </c>
      <c r="X30" s="160"/>
      <c r="Y30" s="160"/>
      <c r="Z30" s="160"/>
      <c r="AA30" s="160"/>
      <c r="AB30" s="160">
        <f>IFERROR(((AB29-AB28)/AB28),0)</f>
        <v>2.3529411764703283E-3</v>
      </c>
      <c r="AC30" s="160"/>
      <c r="AD30" s="160"/>
      <c r="AE30" s="160"/>
      <c r="AF30" s="161"/>
      <c r="AG30" s="27"/>
    </row>
    <row r="31" spans="2:33" ht="16.95" customHeight="1" x14ac:dyDescent="0.3">
      <c r="B31" s="21"/>
      <c r="E31" s="87" t="s">
        <v>142</v>
      </c>
      <c r="F31" s="88"/>
      <c r="G31" s="88"/>
      <c r="H31" s="88"/>
      <c r="I31" s="88"/>
      <c r="J31" s="88"/>
      <c r="K31" s="88"/>
      <c r="L31" s="88"/>
      <c r="M31" s="160">
        <f>ABS(M30)</f>
        <v>8.0882352941170771E-3</v>
      </c>
      <c r="N31" s="160"/>
      <c r="O31" s="160"/>
      <c r="P31" s="160"/>
      <c r="Q31" s="160"/>
      <c r="R31" s="160">
        <f>ABS(R30)</f>
        <v>3.3333333333332273E-3</v>
      </c>
      <c r="S31" s="160"/>
      <c r="T31" s="160"/>
      <c r="U31" s="160"/>
      <c r="V31" s="160"/>
      <c r="W31" s="160">
        <f>ABS(W30)</f>
        <v>2.6470588235292507E-3</v>
      </c>
      <c r="X31" s="160"/>
      <c r="Y31" s="160"/>
      <c r="Z31" s="160"/>
      <c r="AA31" s="160"/>
      <c r="AB31" s="160">
        <f>ABS(AB30)</f>
        <v>2.3529411764703283E-3</v>
      </c>
      <c r="AC31" s="160"/>
      <c r="AD31" s="160"/>
      <c r="AE31" s="160"/>
      <c r="AF31" s="161"/>
      <c r="AG31" s="27"/>
    </row>
    <row r="32" spans="2:33" ht="16.95" customHeight="1" thickBot="1" x14ac:dyDescent="0.35">
      <c r="B32" s="21"/>
      <c r="E32" s="79" t="s">
        <v>143</v>
      </c>
      <c r="F32" s="80"/>
      <c r="G32" s="80"/>
      <c r="H32" s="80"/>
      <c r="I32" s="80"/>
      <c r="J32" s="80"/>
      <c r="K32" s="80"/>
      <c r="L32" s="80"/>
      <c r="M32" s="166">
        <f>IF((ABS(M31)&lt;=0.05),9,IF((ABS(M31)&lt;=0.1),6,1))</f>
        <v>9</v>
      </c>
      <c r="N32" s="166"/>
      <c r="O32" s="166"/>
      <c r="P32" s="166"/>
      <c r="Q32" s="166"/>
      <c r="R32" s="166">
        <f t="shared" ref="R32" si="4">IF((ABS(R31)&lt;=0.05),9,IF((ABS(R31)&lt;=0.1),6,1))</f>
        <v>9</v>
      </c>
      <c r="S32" s="166"/>
      <c r="T32" s="166"/>
      <c r="U32" s="166"/>
      <c r="V32" s="166"/>
      <c r="W32" s="166">
        <f t="shared" ref="W32" si="5">IF((ABS(W31)&lt;=0.05),9,IF((ABS(W31)&lt;=0.1),6,1))</f>
        <v>9</v>
      </c>
      <c r="X32" s="166"/>
      <c r="Y32" s="166"/>
      <c r="Z32" s="166"/>
      <c r="AA32" s="166"/>
      <c r="AB32" s="166">
        <f t="shared" ref="AB32" si="6">IF((ABS(AB31)&lt;=0.05),9,IF((ABS(AB31)&lt;=0.1),6,1))</f>
        <v>9</v>
      </c>
      <c r="AC32" s="166"/>
      <c r="AD32" s="166"/>
      <c r="AE32" s="166"/>
      <c r="AF32" s="182"/>
      <c r="AG32" s="27"/>
    </row>
    <row r="33" spans="2:33" ht="16.95" customHeight="1" x14ac:dyDescent="0.3">
      <c r="B33" s="21"/>
      <c r="AG33" s="22"/>
    </row>
    <row r="34" spans="2:33" ht="16.95" customHeight="1" x14ac:dyDescent="0.3">
      <c r="B34" s="21"/>
      <c r="E34" s="190" t="s">
        <v>144</v>
      </c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78">
        <f>MIN(M32:AF32)</f>
        <v>9</v>
      </c>
      <c r="Q34" s="78"/>
      <c r="R34" s="78"/>
      <c r="S34" s="78"/>
      <c r="AG34" s="22"/>
    </row>
    <row r="35" spans="2:33" ht="16.95" customHeight="1" x14ac:dyDescent="0.3">
      <c r="B35" s="21"/>
      <c r="AG35" s="22"/>
    </row>
    <row r="36" spans="2:33" ht="16.95" customHeight="1" x14ac:dyDescent="0.3">
      <c r="B36" s="21"/>
      <c r="C36" s="32" t="s">
        <v>219</v>
      </c>
      <c r="D36" s="14"/>
      <c r="E36" s="14" t="s">
        <v>15</v>
      </c>
      <c r="AG36" s="22"/>
    </row>
    <row r="37" spans="2:33" ht="16.95" customHeight="1" x14ac:dyDescent="0.3">
      <c r="B37" s="21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22"/>
    </row>
    <row r="38" spans="2:33" ht="16.95" customHeight="1" x14ac:dyDescent="0.3">
      <c r="B38" s="21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22"/>
    </row>
    <row r="39" spans="2:33" ht="16.95" customHeight="1" x14ac:dyDescent="0.3">
      <c r="B39" s="21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22"/>
    </row>
    <row r="40" spans="2:33" ht="16.95" customHeight="1" x14ac:dyDescent="0.3">
      <c r="B40" s="21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22"/>
    </row>
    <row r="41" spans="2:33" ht="16.95" customHeight="1" x14ac:dyDescent="0.3">
      <c r="B41" s="21"/>
      <c r="AG41" s="22"/>
    </row>
    <row r="42" spans="2:33" ht="16.95" customHeight="1" x14ac:dyDescent="0.3">
      <c r="B42" s="21"/>
      <c r="C42" s="32" t="s">
        <v>220</v>
      </c>
      <c r="D42" s="14"/>
      <c r="E42" s="14" t="s">
        <v>17</v>
      </c>
      <c r="F42" s="14"/>
      <c r="AG42" s="22"/>
    </row>
    <row r="43" spans="2:33" ht="16.95" customHeight="1" x14ac:dyDescent="0.3">
      <c r="B43" s="21"/>
      <c r="E43" s="190" t="s">
        <v>221</v>
      </c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78">
        <f>MIN(P22,P34)</f>
        <v>6</v>
      </c>
      <c r="Q43" s="78"/>
      <c r="R43" s="78"/>
      <c r="S43" s="78"/>
      <c r="AG43" s="22"/>
    </row>
    <row r="44" spans="2:33" ht="16.95" customHeight="1" thickBot="1" x14ac:dyDescent="0.35">
      <c r="B44" s="21"/>
      <c r="AG44" s="22"/>
    </row>
    <row r="45" spans="2:33" ht="16.95" customHeight="1" thickBot="1" x14ac:dyDescent="0.35">
      <c r="B45" s="21"/>
      <c r="C45" s="191" t="s">
        <v>18</v>
      </c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 t="s">
        <v>19</v>
      </c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8"/>
      <c r="AG45" s="22"/>
    </row>
    <row r="46" spans="2:33" ht="16.95" customHeight="1" x14ac:dyDescent="0.3">
      <c r="B46" s="21"/>
      <c r="C46" s="44">
        <v>1</v>
      </c>
      <c r="D46" s="62" t="s">
        <v>267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22"/>
    </row>
    <row r="47" spans="2:33" ht="16.95" customHeight="1" x14ac:dyDescent="0.3">
      <c r="B47" s="21"/>
      <c r="C47" s="39">
        <v>2</v>
      </c>
      <c r="D47" s="57" t="s">
        <v>234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22"/>
    </row>
    <row r="48" spans="2:33" ht="16.95" customHeight="1" x14ac:dyDescent="0.3">
      <c r="B48" s="21"/>
      <c r="C48" s="39">
        <v>3</v>
      </c>
      <c r="D48" s="57" t="s">
        <v>245</v>
      </c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22"/>
    </row>
    <row r="49" spans="2:33" ht="16.95" customHeight="1" x14ac:dyDescent="0.3">
      <c r="B49" s="21"/>
      <c r="C49" s="39">
        <v>4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22"/>
    </row>
    <row r="50" spans="2:33" ht="16.95" customHeight="1" x14ac:dyDescent="0.3">
      <c r="B50" s="21"/>
      <c r="C50" s="39">
        <v>5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 t="s">
        <v>266</v>
      </c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22"/>
    </row>
    <row r="51" spans="2:33" ht="16.95" customHeight="1" thickBot="1" x14ac:dyDescent="0.35"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6"/>
    </row>
  </sheetData>
  <sheetProtection algorithmName="SHA-512" hashValue="yn69hEvXKTMJpgrLKQhnnP0pcRSgiC8MSKGv9e5LTtd3ATlUOpyiXguShW7mRQex0apB4MoxCZ149raBbz1dAA==" saltValue="jouFYBG7BAe7OhWkhMhFYQ==" spinCount="100000" sheet="1" objects="1" scenarios="1"/>
  <mergeCells count="85">
    <mergeCell ref="D50:M50"/>
    <mergeCell ref="N50:Q50"/>
    <mergeCell ref="R50:AF50"/>
    <mergeCell ref="D46:M46"/>
    <mergeCell ref="N46:Q46"/>
    <mergeCell ref="R46:AF49"/>
    <mergeCell ref="D47:M47"/>
    <mergeCell ref="N47:Q47"/>
    <mergeCell ref="D48:M48"/>
    <mergeCell ref="N48:Q48"/>
    <mergeCell ref="D49:M49"/>
    <mergeCell ref="N49:Q49"/>
    <mergeCell ref="E37:AF40"/>
    <mergeCell ref="E43:O43"/>
    <mergeCell ref="P43:S43"/>
    <mergeCell ref="C45:Q45"/>
    <mergeCell ref="R45:AF45"/>
    <mergeCell ref="E34:O34"/>
    <mergeCell ref="P34:S34"/>
    <mergeCell ref="E31:L31"/>
    <mergeCell ref="M31:Q31"/>
    <mergeCell ref="R31:V31"/>
    <mergeCell ref="W31:AA31"/>
    <mergeCell ref="AB31:AF31"/>
    <mergeCell ref="E32:L32"/>
    <mergeCell ref="M32:Q32"/>
    <mergeCell ref="R32:V32"/>
    <mergeCell ref="W32:AA32"/>
    <mergeCell ref="AB32:AF32"/>
    <mergeCell ref="AB30:AF30"/>
    <mergeCell ref="I29:L29"/>
    <mergeCell ref="M29:Q29"/>
    <mergeCell ref="R29:V29"/>
    <mergeCell ref="W29:AA29"/>
    <mergeCell ref="AB29:AF29"/>
    <mergeCell ref="AB27:AF27"/>
    <mergeCell ref="I28:L28"/>
    <mergeCell ref="M28:Q28"/>
    <mergeCell ref="R28:V28"/>
    <mergeCell ref="W28:AA28"/>
    <mergeCell ref="AB28:AF28"/>
    <mergeCell ref="E27:H30"/>
    <mergeCell ref="I27:L27"/>
    <mergeCell ref="M27:Q27"/>
    <mergeCell ref="R27:V27"/>
    <mergeCell ref="W27:AA27"/>
    <mergeCell ref="I30:L30"/>
    <mergeCell ref="M30:Q30"/>
    <mergeCell ref="R30:V30"/>
    <mergeCell ref="W30:AA30"/>
    <mergeCell ref="W26:AA26"/>
    <mergeCell ref="AB26:AF26"/>
    <mergeCell ref="E22:O22"/>
    <mergeCell ref="P22:S22"/>
    <mergeCell ref="E26:H26"/>
    <mergeCell ref="I26:L26"/>
    <mergeCell ref="M26:Q26"/>
    <mergeCell ref="R26:V26"/>
    <mergeCell ref="I20:L20"/>
    <mergeCell ref="M20:Q20"/>
    <mergeCell ref="E18:H20"/>
    <mergeCell ref="I18:L18"/>
    <mergeCell ref="M18:Q18"/>
    <mergeCell ref="I19:L19"/>
    <mergeCell ref="M19:Q19"/>
    <mergeCell ref="M16:Q16"/>
    <mergeCell ref="I17:L17"/>
    <mergeCell ref="M17:Q17"/>
    <mergeCell ref="E15:H17"/>
    <mergeCell ref="I15:L15"/>
    <mergeCell ref="M15:Q15"/>
    <mergeCell ref="I16:L16"/>
    <mergeCell ref="E10:J10"/>
    <mergeCell ref="L10:N10"/>
    <mergeCell ref="O10:P10"/>
    <mergeCell ref="E14:H14"/>
    <mergeCell ref="I14:L14"/>
    <mergeCell ref="M14:Q14"/>
    <mergeCell ref="E9:J9"/>
    <mergeCell ref="L9:N9"/>
    <mergeCell ref="O9:P9"/>
    <mergeCell ref="E4:F4"/>
    <mergeCell ref="H4:P4"/>
    <mergeCell ref="E5:F5"/>
    <mergeCell ref="H5:P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B96E-5908-466F-966B-05CADC564AA1}">
  <dimension ref="B1:AD50"/>
  <sheetViews>
    <sheetView tabSelected="1" view="pageBreakPreview" topLeftCell="A30" zoomScale="85" zoomScaleNormal="100" zoomScaleSheetLayoutView="50" workbookViewId="0">
      <selection activeCell="AA14" sqref="AA14"/>
    </sheetView>
  </sheetViews>
  <sheetFormatPr defaultColWidth="8.88671875" defaultRowHeight="16.95" customHeight="1" x14ac:dyDescent="0.3"/>
  <cols>
    <col min="1" max="1" width="4.21875" style="1" customWidth="1"/>
    <col min="2" max="100" width="3.6640625" style="1" customWidth="1"/>
    <col min="101" max="16384" width="8.88671875" style="1"/>
  </cols>
  <sheetData>
    <row r="1" spans="2:30" ht="16.95" customHeight="1" thickBot="1" x14ac:dyDescent="0.35"/>
    <row r="2" spans="2:30" ht="16.95" customHeight="1" x14ac:dyDescent="0.3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20"/>
    </row>
    <row r="3" spans="2:30" ht="16.95" customHeight="1" x14ac:dyDescent="0.3">
      <c r="B3" s="21"/>
      <c r="C3" s="5"/>
      <c r="D3" s="6"/>
      <c r="E3" s="42" t="s">
        <v>9</v>
      </c>
      <c r="F3" s="42"/>
      <c r="G3" s="4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D3" s="22"/>
    </row>
    <row r="4" spans="2:30" ht="16.95" customHeight="1" x14ac:dyDescent="0.3">
      <c r="B4" s="21"/>
      <c r="C4" s="8"/>
      <c r="E4" s="128" t="s">
        <v>0</v>
      </c>
      <c r="F4" s="128"/>
      <c r="G4" s="14" t="s">
        <v>10</v>
      </c>
      <c r="H4" s="130" t="s">
        <v>228</v>
      </c>
      <c r="I4" s="130"/>
      <c r="J4" s="130"/>
      <c r="K4" s="130"/>
      <c r="L4" s="130"/>
      <c r="M4" s="130"/>
      <c r="AC4" s="10"/>
      <c r="AD4" s="22"/>
    </row>
    <row r="5" spans="2:30" ht="16.95" customHeight="1" x14ac:dyDescent="0.3">
      <c r="B5" s="21"/>
      <c r="C5" s="11"/>
      <c r="D5" s="12"/>
      <c r="E5" s="129" t="s">
        <v>1</v>
      </c>
      <c r="F5" s="129"/>
      <c r="G5" s="43" t="s">
        <v>10</v>
      </c>
      <c r="H5" s="145" t="s">
        <v>228</v>
      </c>
      <c r="I5" s="145"/>
      <c r="J5" s="145"/>
      <c r="K5" s="145"/>
      <c r="L5" s="145"/>
      <c r="M5" s="14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/>
      <c r="AD5" s="22"/>
    </row>
    <row r="6" spans="2:30" ht="16.95" customHeight="1" x14ac:dyDescent="0.3">
      <c r="B6" s="21"/>
      <c r="AD6" s="22"/>
    </row>
    <row r="7" spans="2:30" ht="16.95" customHeight="1" x14ac:dyDescent="0.3">
      <c r="B7" s="21"/>
      <c r="C7" s="32" t="s">
        <v>224</v>
      </c>
      <c r="D7" s="14"/>
      <c r="E7" s="14" t="s">
        <v>164</v>
      </c>
      <c r="AD7" s="22"/>
    </row>
    <row r="8" spans="2:30" ht="16.95" customHeight="1" thickBot="1" x14ac:dyDescent="0.35">
      <c r="B8" s="21"/>
      <c r="C8" s="14"/>
      <c r="D8" s="14"/>
      <c r="E8" s="14"/>
      <c r="AD8" s="22"/>
    </row>
    <row r="9" spans="2:30" ht="37.200000000000003" customHeight="1" thickBot="1" x14ac:dyDescent="0.35">
      <c r="B9" s="21"/>
      <c r="E9" s="164" t="s">
        <v>165</v>
      </c>
      <c r="F9" s="104"/>
      <c r="G9" s="104"/>
      <c r="H9" s="104"/>
      <c r="I9" s="104" t="s">
        <v>166</v>
      </c>
      <c r="J9" s="104"/>
      <c r="K9" s="104"/>
      <c r="L9" s="104"/>
      <c r="M9" s="104" t="s">
        <v>167</v>
      </c>
      <c r="N9" s="104"/>
      <c r="O9" s="104"/>
      <c r="P9" s="104"/>
      <c r="Q9" s="104"/>
      <c r="R9" s="92" t="s">
        <v>206</v>
      </c>
      <c r="S9" s="92"/>
      <c r="T9" s="105"/>
      <c r="U9" s="216" t="s">
        <v>8</v>
      </c>
      <c r="V9" s="216"/>
      <c r="W9" s="216"/>
      <c r="X9" s="91" t="s">
        <v>168</v>
      </c>
      <c r="Y9" s="92"/>
      <c r="Z9" s="92"/>
      <c r="AA9" s="92"/>
      <c r="AB9" s="92"/>
      <c r="AC9" s="93"/>
      <c r="AD9" s="22"/>
    </row>
    <row r="10" spans="2:30" ht="37.200000000000003" customHeight="1" x14ac:dyDescent="0.3">
      <c r="B10" s="21"/>
      <c r="E10" s="209" t="s">
        <v>169</v>
      </c>
      <c r="F10" s="155"/>
      <c r="G10" s="155"/>
      <c r="H10" s="155"/>
      <c r="I10" s="155" t="s">
        <v>170</v>
      </c>
      <c r="J10" s="155"/>
      <c r="K10" s="155"/>
      <c r="L10" s="155"/>
      <c r="M10" s="200" t="s">
        <v>171</v>
      </c>
      <c r="N10" s="200"/>
      <c r="O10" s="200"/>
      <c r="P10" s="200"/>
      <c r="Q10" s="201"/>
      <c r="R10" s="97" t="s">
        <v>235</v>
      </c>
      <c r="S10" s="97"/>
      <c r="T10" s="97"/>
      <c r="U10" s="210">
        <f>IF(ISBLANK(R10),9,IF(R10="OK",9,1))</f>
        <v>9</v>
      </c>
      <c r="V10" s="210"/>
      <c r="W10" s="210"/>
      <c r="X10" s="100" t="s">
        <v>248</v>
      </c>
      <c r="Y10" s="97"/>
      <c r="Z10" s="97"/>
      <c r="AA10" s="97"/>
      <c r="AB10" s="97"/>
      <c r="AC10" s="101"/>
      <c r="AD10" s="22"/>
    </row>
    <row r="11" spans="2:30" ht="37.200000000000003" customHeight="1" x14ac:dyDescent="0.3">
      <c r="B11" s="21"/>
      <c r="E11" s="204" t="s">
        <v>169</v>
      </c>
      <c r="F11" s="159"/>
      <c r="G11" s="159"/>
      <c r="H11" s="159"/>
      <c r="I11" s="159" t="s">
        <v>172</v>
      </c>
      <c r="J11" s="159"/>
      <c r="K11" s="159"/>
      <c r="L11" s="159"/>
      <c r="M11" s="202" t="s">
        <v>171</v>
      </c>
      <c r="N11" s="202" t="s">
        <v>171</v>
      </c>
      <c r="O11" s="202"/>
      <c r="P11" s="202"/>
      <c r="Q11" s="203"/>
      <c r="R11" s="85" t="s">
        <v>235</v>
      </c>
      <c r="S11" s="85"/>
      <c r="T11" s="85"/>
      <c r="U11" s="113">
        <f t="shared" ref="U11:U13" si="0">IF(ISBLANK(R11),9,IF(R11="OK",9,1))</f>
        <v>9</v>
      </c>
      <c r="V11" s="113"/>
      <c r="W11" s="113"/>
      <c r="X11" s="84" t="s">
        <v>248</v>
      </c>
      <c r="Y11" s="85"/>
      <c r="Z11" s="85"/>
      <c r="AA11" s="85"/>
      <c r="AB11" s="85"/>
      <c r="AC11" s="86"/>
      <c r="AD11" s="22"/>
    </row>
    <row r="12" spans="2:30" ht="37.200000000000003" customHeight="1" x14ac:dyDescent="0.3">
      <c r="B12" s="21"/>
      <c r="E12" s="204" t="s">
        <v>97</v>
      </c>
      <c r="F12" s="159"/>
      <c r="G12" s="159"/>
      <c r="H12" s="159"/>
      <c r="I12" s="159" t="s">
        <v>173</v>
      </c>
      <c r="J12" s="159"/>
      <c r="K12" s="159"/>
      <c r="L12" s="159"/>
      <c r="M12" s="202" t="s">
        <v>171</v>
      </c>
      <c r="N12" s="202" t="s">
        <v>171</v>
      </c>
      <c r="O12" s="202"/>
      <c r="P12" s="202"/>
      <c r="Q12" s="203"/>
      <c r="R12" s="85" t="s">
        <v>235</v>
      </c>
      <c r="S12" s="85"/>
      <c r="T12" s="85"/>
      <c r="U12" s="113">
        <f t="shared" si="0"/>
        <v>9</v>
      </c>
      <c r="V12" s="113"/>
      <c r="W12" s="113"/>
      <c r="X12" s="84" t="s">
        <v>249</v>
      </c>
      <c r="Y12" s="85"/>
      <c r="Z12" s="85"/>
      <c r="AA12" s="85"/>
      <c r="AB12" s="85"/>
      <c r="AC12" s="86"/>
      <c r="AD12" s="22"/>
    </row>
    <row r="13" spans="2:30" ht="37.200000000000003" customHeight="1" thickBot="1" x14ac:dyDescent="0.35">
      <c r="B13" s="21"/>
      <c r="E13" s="205" t="s">
        <v>98</v>
      </c>
      <c r="F13" s="165"/>
      <c r="G13" s="165"/>
      <c r="H13" s="165"/>
      <c r="I13" s="165" t="s">
        <v>174</v>
      </c>
      <c r="J13" s="165"/>
      <c r="K13" s="165"/>
      <c r="L13" s="165"/>
      <c r="M13" s="207" t="s">
        <v>171</v>
      </c>
      <c r="N13" s="207" t="s">
        <v>171</v>
      </c>
      <c r="O13" s="207"/>
      <c r="P13" s="207"/>
      <c r="Q13" s="208"/>
      <c r="R13" s="73" t="s">
        <v>235</v>
      </c>
      <c r="S13" s="73"/>
      <c r="T13" s="73"/>
      <c r="U13" s="206">
        <f t="shared" si="0"/>
        <v>9</v>
      </c>
      <c r="V13" s="206"/>
      <c r="W13" s="206"/>
      <c r="X13" s="72" t="s">
        <v>247</v>
      </c>
      <c r="Y13" s="73"/>
      <c r="Z13" s="73"/>
      <c r="AA13" s="73"/>
      <c r="AB13" s="73"/>
      <c r="AC13" s="74"/>
      <c r="AD13" s="22"/>
    </row>
    <row r="14" spans="2:30" ht="16.95" customHeight="1" x14ac:dyDescent="0.3">
      <c r="B14" s="21"/>
      <c r="E14" s="56" t="s">
        <v>201</v>
      </c>
      <c r="F14" s="55" t="s">
        <v>207</v>
      </c>
      <c r="G14" s="15"/>
      <c r="H14" s="15"/>
      <c r="I14" s="15"/>
      <c r="J14" s="15"/>
      <c r="K14" s="15"/>
      <c r="L14" s="15"/>
      <c r="M14" s="15"/>
      <c r="N14" s="2"/>
      <c r="O14" s="2"/>
      <c r="P14" s="2"/>
      <c r="AD14" s="22"/>
    </row>
    <row r="15" spans="2:30" ht="16.95" customHeight="1" x14ac:dyDescent="0.3">
      <c r="B15" s="21"/>
      <c r="E15" s="33"/>
      <c r="F15" s="55"/>
      <c r="G15" s="15"/>
      <c r="H15" s="15"/>
      <c r="I15" s="15"/>
      <c r="J15" s="15"/>
      <c r="K15" s="15"/>
      <c r="L15" s="15"/>
      <c r="M15" s="15"/>
      <c r="N15" s="2"/>
      <c r="O15" s="2"/>
      <c r="P15" s="2"/>
      <c r="AD15" s="22"/>
    </row>
    <row r="16" spans="2:30" ht="16.95" customHeight="1" x14ac:dyDescent="0.3">
      <c r="B16" s="21"/>
      <c r="E16" s="190" t="s">
        <v>175</v>
      </c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78">
        <f>MIN(U10,U11,U12,U13)</f>
        <v>9</v>
      </c>
      <c r="R16" s="78"/>
      <c r="S16" s="78"/>
      <c r="T16" s="78"/>
      <c r="AD16" s="22"/>
    </row>
    <row r="17" spans="2:30" ht="16.95" customHeight="1" x14ac:dyDescent="0.3">
      <c r="B17" s="21"/>
      <c r="E17" s="17"/>
      <c r="F17" s="17"/>
      <c r="G17" s="17"/>
      <c r="H17" s="17"/>
      <c r="I17" s="17"/>
      <c r="J17" s="17"/>
      <c r="K17" s="17"/>
      <c r="L17" s="17"/>
      <c r="M17" s="17"/>
      <c r="N17" s="2"/>
      <c r="O17" s="2"/>
      <c r="P17" s="2"/>
      <c r="AD17" s="22"/>
    </row>
    <row r="18" spans="2:30" ht="16.95" customHeight="1" x14ac:dyDescent="0.3">
      <c r="B18" s="21"/>
      <c r="C18" s="32" t="s">
        <v>225</v>
      </c>
      <c r="D18" s="14"/>
      <c r="E18" s="14" t="s">
        <v>176</v>
      </c>
      <c r="AD18" s="22"/>
    </row>
    <row r="19" spans="2:30" ht="16.95" customHeight="1" thickBot="1" x14ac:dyDescent="0.35">
      <c r="B19" s="21"/>
      <c r="C19" s="14"/>
      <c r="D19" s="14"/>
      <c r="E19" s="14"/>
      <c r="AD19" s="22"/>
    </row>
    <row r="20" spans="2:30" ht="37.200000000000003" customHeight="1" thickBot="1" x14ac:dyDescent="0.35">
      <c r="B20" s="21"/>
      <c r="E20" s="164" t="s">
        <v>165</v>
      </c>
      <c r="F20" s="104"/>
      <c r="G20" s="104"/>
      <c r="H20" s="104"/>
      <c r="I20" s="104" t="s">
        <v>166</v>
      </c>
      <c r="J20" s="104"/>
      <c r="K20" s="104"/>
      <c r="L20" s="104"/>
      <c r="M20" s="104" t="s">
        <v>167</v>
      </c>
      <c r="N20" s="104"/>
      <c r="O20" s="104"/>
      <c r="P20" s="104"/>
      <c r="Q20" s="104"/>
      <c r="R20" s="92" t="s">
        <v>206</v>
      </c>
      <c r="S20" s="92"/>
      <c r="T20" s="105"/>
      <c r="U20" s="216" t="s">
        <v>8</v>
      </c>
      <c r="V20" s="216"/>
      <c r="W20" s="216"/>
      <c r="X20" s="91" t="s">
        <v>168</v>
      </c>
      <c r="Y20" s="92"/>
      <c r="Z20" s="92"/>
      <c r="AA20" s="92"/>
      <c r="AB20" s="92"/>
      <c r="AC20" s="93"/>
      <c r="AD20" s="22"/>
    </row>
    <row r="21" spans="2:30" ht="37.200000000000003" customHeight="1" x14ac:dyDescent="0.3">
      <c r="B21" s="21"/>
      <c r="E21" s="209" t="s">
        <v>177</v>
      </c>
      <c r="F21" s="155"/>
      <c r="G21" s="155"/>
      <c r="H21" s="155"/>
      <c r="I21" s="155" t="s">
        <v>28</v>
      </c>
      <c r="J21" s="155"/>
      <c r="K21" s="155"/>
      <c r="L21" s="155"/>
      <c r="M21" s="200" t="s">
        <v>171</v>
      </c>
      <c r="N21" s="200"/>
      <c r="O21" s="200"/>
      <c r="P21" s="200"/>
      <c r="Q21" s="201"/>
      <c r="R21" s="97" t="s">
        <v>235</v>
      </c>
      <c r="S21" s="97"/>
      <c r="T21" s="97"/>
      <c r="U21" s="210">
        <f>IF(ISBLANK(R21),9,IF(R21="OK",9,1))</f>
        <v>9</v>
      </c>
      <c r="V21" s="210"/>
      <c r="W21" s="210"/>
      <c r="X21" s="97" t="s">
        <v>246</v>
      </c>
      <c r="Y21" s="97"/>
      <c r="Z21" s="97"/>
      <c r="AA21" s="97"/>
      <c r="AB21" s="97"/>
      <c r="AC21" s="101"/>
      <c r="AD21" s="22"/>
    </row>
    <row r="22" spans="2:30" ht="37.200000000000003" customHeight="1" x14ac:dyDescent="0.3">
      <c r="B22" s="21"/>
      <c r="E22" s="204" t="s">
        <v>223</v>
      </c>
      <c r="F22" s="159"/>
      <c r="G22" s="159"/>
      <c r="H22" s="159"/>
      <c r="I22" s="159" t="s">
        <v>28</v>
      </c>
      <c r="J22" s="159"/>
      <c r="K22" s="159"/>
      <c r="L22" s="159"/>
      <c r="M22" s="202" t="s">
        <v>171</v>
      </c>
      <c r="N22" s="202"/>
      <c r="O22" s="202"/>
      <c r="P22" s="202"/>
      <c r="Q22" s="203"/>
      <c r="R22" s="85" t="s">
        <v>235</v>
      </c>
      <c r="S22" s="85"/>
      <c r="T22" s="85"/>
      <c r="U22" s="113">
        <f t="shared" ref="U22:U30" si="1">IF(ISBLANK(R22),9,IF(R22="OK",9,1))</f>
        <v>9</v>
      </c>
      <c r="V22" s="113"/>
      <c r="W22" s="113"/>
      <c r="X22" s="85" t="s">
        <v>246</v>
      </c>
      <c r="Y22" s="85"/>
      <c r="Z22" s="85"/>
      <c r="AA22" s="85"/>
      <c r="AB22" s="85"/>
      <c r="AC22" s="86"/>
      <c r="AD22" s="22"/>
    </row>
    <row r="23" spans="2:30" ht="37.200000000000003" customHeight="1" x14ac:dyDescent="0.3">
      <c r="B23" s="21"/>
      <c r="E23" s="204" t="s">
        <v>178</v>
      </c>
      <c r="F23" s="159"/>
      <c r="G23" s="159"/>
      <c r="H23" s="159"/>
      <c r="I23" s="159" t="s">
        <v>179</v>
      </c>
      <c r="J23" s="159"/>
      <c r="K23" s="159"/>
      <c r="L23" s="159"/>
      <c r="M23" s="202" t="s">
        <v>171</v>
      </c>
      <c r="N23" s="202"/>
      <c r="O23" s="202"/>
      <c r="P23" s="202"/>
      <c r="Q23" s="203"/>
      <c r="R23" s="214" t="s">
        <v>235</v>
      </c>
      <c r="S23" s="215"/>
      <c r="T23" s="84"/>
      <c r="U23" s="211">
        <f t="shared" si="1"/>
        <v>9</v>
      </c>
      <c r="V23" s="212"/>
      <c r="W23" s="213"/>
      <c r="X23" s="85" t="s">
        <v>250</v>
      </c>
      <c r="Y23" s="85"/>
      <c r="Z23" s="85"/>
      <c r="AA23" s="85"/>
      <c r="AB23" s="85"/>
      <c r="AC23" s="86"/>
      <c r="AD23" s="22"/>
    </row>
    <row r="24" spans="2:30" ht="37.200000000000003" customHeight="1" x14ac:dyDescent="0.3">
      <c r="B24" s="21"/>
      <c r="E24" s="204" t="s">
        <v>180</v>
      </c>
      <c r="F24" s="159"/>
      <c r="G24" s="159"/>
      <c r="H24" s="159"/>
      <c r="I24" s="159" t="s">
        <v>28</v>
      </c>
      <c r="J24" s="159"/>
      <c r="K24" s="159"/>
      <c r="L24" s="159"/>
      <c r="M24" s="202" t="s">
        <v>181</v>
      </c>
      <c r="N24" s="202"/>
      <c r="O24" s="202"/>
      <c r="P24" s="202"/>
      <c r="Q24" s="203"/>
      <c r="R24" s="214" t="s">
        <v>235</v>
      </c>
      <c r="S24" s="215"/>
      <c r="T24" s="84"/>
      <c r="U24" s="211">
        <f t="shared" si="1"/>
        <v>9</v>
      </c>
      <c r="V24" s="212"/>
      <c r="W24" s="213"/>
      <c r="X24" s="85" t="s">
        <v>251</v>
      </c>
      <c r="Y24" s="85"/>
      <c r="Z24" s="85"/>
      <c r="AA24" s="85"/>
      <c r="AB24" s="85"/>
      <c r="AC24" s="86"/>
      <c r="AD24" s="22"/>
    </row>
    <row r="25" spans="2:30" ht="37.200000000000003" customHeight="1" x14ac:dyDescent="0.3">
      <c r="B25" s="21"/>
      <c r="E25" s="204" t="s">
        <v>187</v>
      </c>
      <c r="F25" s="159"/>
      <c r="G25" s="159"/>
      <c r="H25" s="159"/>
      <c r="I25" s="159" t="s">
        <v>28</v>
      </c>
      <c r="J25" s="159"/>
      <c r="K25" s="159"/>
      <c r="L25" s="159"/>
      <c r="M25" s="202" t="s">
        <v>181</v>
      </c>
      <c r="N25" s="202"/>
      <c r="O25" s="202"/>
      <c r="P25" s="202"/>
      <c r="Q25" s="203"/>
      <c r="R25" s="85" t="s">
        <v>235</v>
      </c>
      <c r="S25" s="85"/>
      <c r="T25" s="85"/>
      <c r="U25" s="113">
        <f t="shared" si="1"/>
        <v>9</v>
      </c>
      <c r="V25" s="113"/>
      <c r="W25" s="113"/>
      <c r="X25" s="85" t="s">
        <v>252</v>
      </c>
      <c r="Y25" s="85"/>
      <c r="Z25" s="85"/>
      <c r="AA25" s="85"/>
      <c r="AB25" s="85"/>
      <c r="AC25" s="86"/>
      <c r="AD25" s="22"/>
    </row>
    <row r="26" spans="2:30" ht="37.200000000000003" customHeight="1" x14ac:dyDescent="0.3">
      <c r="B26" s="21"/>
      <c r="E26" s="204" t="s">
        <v>188</v>
      </c>
      <c r="F26" s="159"/>
      <c r="G26" s="159"/>
      <c r="H26" s="159"/>
      <c r="I26" s="159" t="s">
        <v>28</v>
      </c>
      <c r="J26" s="159"/>
      <c r="K26" s="159"/>
      <c r="L26" s="159"/>
      <c r="M26" s="202" t="s">
        <v>181</v>
      </c>
      <c r="N26" s="202"/>
      <c r="O26" s="202"/>
      <c r="P26" s="202"/>
      <c r="Q26" s="203"/>
      <c r="R26" s="85" t="s">
        <v>235</v>
      </c>
      <c r="S26" s="85"/>
      <c r="T26" s="85"/>
      <c r="U26" s="113">
        <f t="shared" si="1"/>
        <v>9</v>
      </c>
      <c r="V26" s="113"/>
      <c r="W26" s="113"/>
      <c r="X26" s="85" t="s">
        <v>253</v>
      </c>
      <c r="Y26" s="85"/>
      <c r="Z26" s="85"/>
      <c r="AA26" s="85"/>
      <c r="AB26" s="85"/>
      <c r="AC26" s="86"/>
      <c r="AD26" s="22"/>
    </row>
    <row r="27" spans="2:30" ht="37.200000000000003" customHeight="1" x14ac:dyDescent="0.3">
      <c r="B27" s="21"/>
      <c r="E27" s="204" t="s">
        <v>182</v>
      </c>
      <c r="F27" s="159"/>
      <c r="G27" s="159"/>
      <c r="H27" s="159"/>
      <c r="I27" s="159" t="s">
        <v>179</v>
      </c>
      <c r="J27" s="159"/>
      <c r="K27" s="159"/>
      <c r="L27" s="159"/>
      <c r="M27" s="202" t="s">
        <v>181</v>
      </c>
      <c r="N27" s="202"/>
      <c r="O27" s="202"/>
      <c r="P27" s="202"/>
      <c r="Q27" s="203"/>
      <c r="R27" s="85" t="s">
        <v>235</v>
      </c>
      <c r="S27" s="85"/>
      <c r="T27" s="85"/>
      <c r="U27" s="113">
        <f t="shared" si="1"/>
        <v>9</v>
      </c>
      <c r="V27" s="113"/>
      <c r="W27" s="113"/>
      <c r="X27" s="85" t="s">
        <v>254</v>
      </c>
      <c r="Y27" s="85"/>
      <c r="Z27" s="85"/>
      <c r="AA27" s="85"/>
      <c r="AB27" s="85"/>
      <c r="AC27" s="86"/>
      <c r="AD27" s="22"/>
    </row>
    <row r="28" spans="2:30" ht="37.200000000000003" customHeight="1" x14ac:dyDescent="0.3">
      <c r="B28" s="21"/>
      <c r="E28" s="204" t="s">
        <v>189</v>
      </c>
      <c r="F28" s="159"/>
      <c r="G28" s="159"/>
      <c r="H28" s="159"/>
      <c r="I28" s="159" t="s">
        <v>179</v>
      </c>
      <c r="J28" s="159"/>
      <c r="K28" s="159"/>
      <c r="L28" s="159"/>
      <c r="M28" s="202" t="s">
        <v>181</v>
      </c>
      <c r="N28" s="202"/>
      <c r="O28" s="202"/>
      <c r="P28" s="202"/>
      <c r="Q28" s="203"/>
      <c r="R28" s="85"/>
      <c r="S28" s="85"/>
      <c r="T28" s="85"/>
      <c r="U28" s="113">
        <f t="shared" si="1"/>
        <v>9</v>
      </c>
      <c r="V28" s="113"/>
      <c r="W28" s="113"/>
      <c r="X28" s="85"/>
      <c r="Y28" s="85"/>
      <c r="Z28" s="85"/>
      <c r="AA28" s="85"/>
      <c r="AB28" s="85"/>
      <c r="AC28" s="86"/>
      <c r="AD28" s="22"/>
    </row>
    <row r="29" spans="2:30" ht="37.200000000000003" customHeight="1" x14ac:dyDescent="0.3">
      <c r="B29" s="21"/>
      <c r="E29" s="204" t="s">
        <v>222</v>
      </c>
      <c r="F29" s="159"/>
      <c r="G29" s="159"/>
      <c r="H29" s="159"/>
      <c r="I29" s="159" t="s">
        <v>179</v>
      </c>
      <c r="J29" s="159"/>
      <c r="K29" s="159"/>
      <c r="L29" s="159"/>
      <c r="M29" s="202" t="s">
        <v>181</v>
      </c>
      <c r="N29" s="202"/>
      <c r="O29" s="202"/>
      <c r="P29" s="202"/>
      <c r="Q29" s="203"/>
      <c r="R29" s="85"/>
      <c r="S29" s="85"/>
      <c r="T29" s="85"/>
      <c r="U29" s="113">
        <f t="shared" si="1"/>
        <v>9</v>
      </c>
      <c r="V29" s="113"/>
      <c r="W29" s="113"/>
      <c r="X29" s="85"/>
      <c r="Y29" s="85"/>
      <c r="Z29" s="85"/>
      <c r="AA29" s="85"/>
      <c r="AB29" s="85"/>
      <c r="AC29" s="86"/>
      <c r="AD29" s="22"/>
    </row>
    <row r="30" spans="2:30" ht="37.200000000000003" customHeight="1" thickBot="1" x14ac:dyDescent="0.35">
      <c r="B30" s="21"/>
      <c r="E30" s="205" t="s">
        <v>183</v>
      </c>
      <c r="F30" s="165"/>
      <c r="G30" s="165"/>
      <c r="H30" s="165"/>
      <c r="I30" s="165" t="s">
        <v>179</v>
      </c>
      <c r="J30" s="165"/>
      <c r="K30" s="165"/>
      <c r="L30" s="165"/>
      <c r="M30" s="207" t="s">
        <v>181</v>
      </c>
      <c r="N30" s="207"/>
      <c r="O30" s="207"/>
      <c r="P30" s="207"/>
      <c r="Q30" s="208"/>
      <c r="R30" s="73" t="s">
        <v>235</v>
      </c>
      <c r="S30" s="73"/>
      <c r="T30" s="73"/>
      <c r="U30" s="206">
        <f t="shared" si="1"/>
        <v>9</v>
      </c>
      <c r="V30" s="206"/>
      <c r="W30" s="206"/>
      <c r="X30" s="73" t="s">
        <v>255</v>
      </c>
      <c r="Y30" s="73"/>
      <c r="Z30" s="73"/>
      <c r="AA30" s="73"/>
      <c r="AB30" s="73"/>
      <c r="AC30" s="74"/>
      <c r="AD30" s="22"/>
    </row>
    <row r="31" spans="2:30" ht="16.95" customHeight="1" x14ac:dyDescent="0.3">
      <c r="B31" s="21"/>
      <c r="E31" s="56" t="s">
        <v>201</v>
      </c>
      <c r="F31" s="55" t="s">
        <v>207</v>
      </c>
      <c r="G31" s="17"/>
      <c r="H31" s="17"/>
      <c r="I31" s="17"/>
      <c r="J31" s="17"/>
      <c r="K31" s="17"/>
      <c r="L31" s="17"/>
      <c r="M31" s="17"/>
      <c r="N31" s="2"/>
      <c r="O31" s="2"/>
      <c r="P31" s="2"/>
      <c r="AD31" s="22"/>
    </row>
    <row r="32" spans="2:30" ht="16.95" customHeight="1" x14ac:dyDescent="0.3">
      <c r="B32" s="21"/>
      <c r="E32" s="33"/>
      <c r="F32" s="55"/>
      <c r="G32" s="17"/>
      <c r="H32" s="17"/>
      <c r="I32" s="17"/>
      <c r="J32" s="17"/>
      <c r="K32" s="17"/>
      <c r="L32" s="17"/>
      <c r="M32" s="17"/>
      <c r="N32" s="2"/>
      <c r="O32" s="2"/>
      <c r="P32" s="2"/>
      <c r="AD32" s="22"/>
    </row>
    <row r="33" spans="2:30" ht="16.95" customHeight="1" x14ac:dyDescent="0.3">
      <c r="B33" s="21"/>
      <c r="E33" s="190" t="s">
        <v>184</v>
      </c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78">
        <f>MIN(U27,U28,U29,U30,U26,U25,U24,U23,U22,U21)</f>
        <v>9</v>
      </c>
      <c r="R33" s="78"/>
      <c r="S33" s="78"/>
      <c r="T33" s="78"/>
      <c r="AD33" s="22"/>
    </row>
    <row r="34" spans="2:30" ht="16.95" customHeight="1" x14ac:dyDescent="0.3">
      <c r="B34" s="21"/>
      <c r="E34" s="17"/>
      <c r="F34" s="17"/>
      <c r="G34" s="17"/>
      <c r="H34" s="17"/>
      <c r="I34" s="17"/>
      <c r="J34" s="17"/>
      <c r="K34" s="17"/>
      <c r="L34" s="17"/>
      <c r="M34" s="17"/>
      <c r="N34" s="2"/>
      <c r="O34" s="2"/>
      <c r="P34" s="2"/>
      <c r="AD34" s="22"/>
    </row>
    <row r="35" spans="2:30" ht="16.95" customHeight="1" x14ac:dyDescent="0.3">
      <c r="B35" s="21"/>
      <c r="C35" s="32" t="s">
        <v>226</v>
      </c>
      <c r="D35" s="14"/>
      <c r="E35" s="14" t="s">
        <v>15</v>
      </c>
      <c r="AD35" s="22"/>
    </row>
    <row r="36" spans="2:30" ht="16.95" customHeight="1" x14ac:dyDescent="0.3">
      <c r="B36" s="21"/>
      <c r="E36" s="85" t="s">
        <v>236</v>
      </c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22"/>
    </row>
    <row r="37" spans="2:30" ht="16.95" customHeight="1" x14ac:dyDescent="0.3">
      <c r="B37" s="21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22"/>
    </row>
    <row r="38" spans="2:30" ht="16.95" customHeight="1" x14ac:dyDescent="0.3">
      <c r="B38" s="21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22"/>
    </row>
    <row r="39" spans="2:30" ht="16.95" customHeight="1" x14ac:dyDescent="0.3">
      <c r="B39" s="21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22"/>
    </row>
    <row r="40" spans="2:30" ht="16.95" customHeight="1" x14ac:dyDescent="0.3">
      <c r="B40" s="21"/>
      <c r="AD40" s="22"/>
    </row>
    <row r="41" spans="2:30" ht="16.95" customHeight="1" x14ac:dyDescent="0.3">
      <c r="B41" s="21"/>
      <c r="C41" s="32" t="s">
        <v>227</v>
      </c>
      <c r="D41" s="14"/>
      <c r="E41" s="14" t="s">
        <v>17</v>
      </c>
      <c r="F41" s="14"/>
      <c r="AD41" s="22"/>
    </row>
    <row r="42" spans="2:30" ht="16.95" customHeight="1" x14ac:dyDescent="0.3">
      <c r="B42" s="21"/>
      <c r="E42" s="190" t="s">
        <v>190</v>
      </c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78">
        <f>MIN(Q16,Q33)</f>
        <v>9</v>
      </c>
      <c r="R42" s="78"/>
      <c r="S42" s="78"/>
      <c r="T42" s="78"/>
      <c r="AD42" s="22"/>
    </row>
    <row r="43" spans="2:30" ht="16.95" customHeight="1" thickBot="1" x14ac:dyDescent="0.35">
      <c r="B43" s="21"/>
      <c r="AD43" s="22"/>
    </row>
    <row r="44" spans="2:30" ht="16.95" customHeight="1" thickBot="1" x14ac:dyDescent="0.35">
      <c r="B44" s="21"/>
      <c r="C44" s="191" t="s">
        <v>18</v>
      </c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 t="s">
        <v>19</v>
      </c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8"/>
      <c r="AD44" s="22"/>
    </row>
    <row r="45" spans="2:30" ht="16.95" customHeight="1" x14ac:dyDescent="0.3">
      <c r="B45" s="21"/>
      <c r="C45" s="51">
        <v>1</v>
      </c>
      <c r="D45" s="143" t="s">
        <v>267</v>
      </c>
      <c r="E45" s="143"/>
      <c r="F45" s="143"/>
      <c r="G45" s="143"/>
      <c r="H45" s="143"/>
      <c r="I45" s="143"/>
      <c r="J45" s="143"/>
      <c r="K45" s="143"/>
      <c r="L45" s="143"/>
      <c r="M45" s="143"/>
      <c r="N45" s="40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4"/>
      <c r="AD45" s="22"/>
    </row>
    <row r="46" spans="2:30" ht="16.95" customHeight="1" x14ac:dyDescent="0.3">
      <c r="B46" s="21"/>
      <c r="C46" s="52">
        <v>2</v>
      </c>
      <c r="D46" s="57" t="s">
        <v>234</v>
      </c>
      <c r="E46" s="57"/>
      <c r="F46" s="57"/>
      <c r="G46" s="57"/>
      <c r="H46" s="57"/>
      <c r="I46" s="57"/>
      <c r="J46" s="57"/>
      <c r="K46" s="57"/>
      <c r="L46" s="57"/>
      <c r="M46" s="57"/>
      <c r="N46" s="35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154"/>
      <c r="AD46" s="22"/>
    </row>
    <row r="47" spans="2:30" ht="16.95" customHeight="1" x14ac:dyDescent="0.3">
      <c r="B47" s="21"/>
      <c r="C47" s="52">
        <v>3</v>
      </c>
      <c r="D47" s="57" t="s">
        <v>245</v>
      </c>
      <c r="E47" s="57"/>
      <c r="F47" s="57"/>
      <c r="G47" s="57"/>
      <c r="H47" s="57"/>
      <c r="I47" s="57"/>
      <c r="J47" s="57"/>
      <c r="K47" s="57"/>
      <c r="L47" s="57"/>
      <c r="M47" s="57"/>
      <c r="N47" s="35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154"/>
      <c r="AD47" s="22"/>
    </row>
    <row r="48" spans="2:30" ht="16.95" customHeight="1" x14ac:dyDescent="0.3">
      <c r="B48" s="21"/>
      <c r="C48" s="52">
        <v>4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35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154"/>
      <c r="AD48" s="22"/>
    </row>
    <row r="49" spans="2:30" ht="16.95" customHeight="1" thickBot="1" x14ac:dyDescent="0.35">
      <c r="B49" s="21"/>
      <c r="C49" s="53">
        <v>5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41"/>
      <c r="O49" s="111" t="s">
        <v>266</v>
      </c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2"/>
      <c r="AD49" s="22"/>
    </row>
    <row r="50" spans="2:30" ht="16.95" customHeight="1" thickBot="1" x14ac:dyDescent="0.35"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6"/>
    </row>
  </sheetData>
  <sheetProtection algorithmName="SHA-512" hashValue="VjU6IDkbzx0qos1HPzaHU9OAoplffADRPxLiAS3ajqXkaHxIF8dK3SA4WcKeAkt54bM+56yLphKTSZMgJaxUww==" saltValue="mS/6ZQ+raHIuuB+CVHRYpA==" spinCount="100000" sheet="1" objects="1" scenarios="1"/>
  <mergeCells count="116">
    <mergeCell ref="X12:AC12"/>
    <mergeCell ref="I12:L12"/>
    <mergeCell ref="E4:F4"/>
    <mergeCell ref="H4:M4"/>
    <mergeCell ref="E5:F5"/>
    <mergeCell ref="H5:M5"/>
    <mergeCell ref="E9:H9"/>
    <mergeCell ref="I9:L9"/>
    <mergeCell ref="E11:H11"/>
    <mergeCell ref="R11:T11"/>
    <mergeCell ref="U11:W11"/>
    <mergeCell ref="U20:W20"/>
    <mergeCell ref="X20:AC20"/>
    <mergeCell ref="X11:AC11"/>
    <mergeCell ref="R9:T9"/>
    <mergeCell ref="U9:W9"/>
    <mergeCell ref="X9:AC9"/>
    <mergeCell ref="E10:H10"/>
    <mergeCell ref="R10:T10"/>
    <mergeCell ref="U10:W10"/>
    <mergeCell ref="X10:AC10"/>
    <mergeCell ref="E16:P16"/>
    <mergeCell ref="I10:L10"/>
    <mergeCell ref="I11:L11"/>
    <mergeCell ref="M9:Q9"/>
    <mergeCell ref="M10:Q10"/>
    <mergeCell ref="M11:Q11"/>
    <mergeCell ref="Q16:T16"/>
    <mergeCell ref="E13:H13"/>
    <mergeCell ref="R13:T13"/>
    <mergeCell ref="U13:W13"/>
    <mergeCell ref="X13:AC13"/>
    <mergeCell ref="E12:H12"/>
    <mergeCell ref="R12:T12"/>
    <mergeCell ref="U12:W12"/>
    <mergeCell ref="I13:L13"/>
    <mergeCell ref="M12:Q12"/>
    <mergeCell ref="M13:Q13"/>
    <mergeCell ref="I20:L20"/>
    <mergeCell ref="I21:L21"/>
    <mergeCell ref="E20:H20"/>
    <mergeCell ref="R20:T20"/>
    <mergeCell ref="E24:H24"/>
    <mergeCell ref="R24:T24"/>
    <mergeCell ref="M20:Q20"/>
    <mergeCell ref="E27:H27"/>
    <mergeCell ref="R27:T27"/>
    <mergeCell ref="U27:W27"/>
    <mergeCell ref="X27:AC27"/>
    <mergeCell ref="I27:L27"/>
    <mergeCell ref="E21:H21"/>
    <mergeCell ref="R21:T21"/>
    <mergeCell ref="U21:W21"/>
    <mergeCell ref="X21:AC21"/>
    <mergeCell ref="U24:W24"/>
    <mergeCell ref="X24:AC24"/>
    <mergeCell ref="I24:L24"/>
    <mergeCell ref="E23:H23"/>
    <mergeCell ref="R23:T23"/>
    <mergeCell ref="U23:W23"/>
    <mergeCell ref="X23:AC23"/>
    <mergeCell ref="I23:L23"/>
    <mergeCell ref="E22:H22"/>
    <mergeCell ref="I22:L22"/>
    <mergeCell ref="M22:Q22"/>
    <mergeCell ref="R22:T22"/>
    <mergeCell ref="U22:W22"/>
    <mergeCell ref="X22:AC22"/>
    <mergeCell ref="D49:M49"/>
    <mergeCell ref="O49:AC49"/>
    <mergeCell ref="E36:AC39"/>
    <mergeCell ref="C44:N44"/>
    <mergeCell ref="O44:AC44"/>
    <mergeCell ref="E42:P42"/>
    <mergeCell ref="Q42:T42"/>
    <mergeCell ref="I29:L29"/>
    <mergeCell ref="M29:Q29"/>
    <mergeCell ref="E33:P33"/>
    <mergeCell ref="Q33:T33"/>
    <mergeCell ref="E30:H30"/>
    <mergeCell ref="R30:T30"/>
    <mergeCell ref="D45:M45"/>
    <mergeCell ref="O45:AC48"/>
    <mergeCell ref="D46:M46"/>
    <mergeCell ref="D47:M47"/>
    <mergeCell ref="D48:M48"/>
    <mergeCell ref="U30:W30"/>
    <mergeCell ref="X30:AC30"/>
    <mergeCell ref="I30:L30"/>
    <mergeCell ref="M30:Q30"/>
    <mergeCell ref="E29:H29"/>
    <mergeCell ref="R29:T29"/>
    <mergeCell ref="U29:W29"/>
    <mergeCell ref="X29:AC29"/>
    <mergeCell ref="M21:Q21"/>
    <mergeCell ref="M23:Q23"/>
    <mergeCell ref="M24:Q24"/>
    <mergeCell ref="M27:Q27"/>
    <mergeCell ref="M25:Q25"/>
    <mergeCell ref="E28:H28"/>
    <mergeCell ref="R28:T28"/>
    <mergeCell ref="U28:W28"/>
    <mergeCell ref="X28:AC28"/>
    <mergeCell ref="I28:L28"/>
    <mergeCell ref="M28:Q28"/>
    <mergeCell ref="E26:H26"/>
    <mergeCell ref="R26:T26"/>
    <mergeCell ref="U26:W26"/>
    <mergeCell ref="X26:AC26"/>
    <mergeCell ref="I26:L26"/>
    <mergeCell ref="M26:Q26"/>
    <mergeCell ref="E25:H25"/>
    <mergeCell ref="R25:T25"/>
    <mergeCell ref="U25:W25"/>
    <mergeCell ref="X25:AC25"/>
    <mergeCell ref="I25:L25"/>
  </mergeCells>
  <phoneticPr fontId="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r:id="rId1"/>
  <rowBreaks count="1" manualBreakCount="1">
    <brk id="34" min="1" max="2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90FE-0CE1-4D06-8CD3-0120533820C7}">
  <dimension ref="B2:F45"/>
  <sheetViews>
    <sheetView workbookViewId="0">
      <selection activeCell="G7" sqref="G7"/>
    </sheetView>
  </sheetViews>
  <sheetFormatPr defaultRowHeight="14.4" x14ac:dyDescent="0.3"/>
  <cols>
    <col min="6" max="6" width="19.88671875" customWidth="1"/>
  </cols>
  <sheetData>
    <row r="2" spans="2:6" ht="14.4" customHeight="1" x14ac:dyDescent="0.3">
      <c r="B2" s="1" t="s">
        <v>39</v>
      </c>
      <c r="C2" s="1" t="s">
        <v>62</v>
      </c>
      <c r="D2" s="4" t="s">
        <v>65</v>
      </c>
      <c r="E2" t="s">
        <v>20</v>
      </c>
      <c r="F2" t="s">
        <v>171</v>
      </c>
    </row>
    <row r="3" spans="2:6" ht="14.4" customHeight="1" x14ac:dyDescent="0.3">
      <c r="B3" s="1" t="s">
        <v>40</v>
      </c>
      <c r="C3" s="1" t="s">
        <v>63</v>
      </c>
      <c r="D3" s="4" t="s">
        <v>66</v>
      </c>
      <c r="E3" t="s">
        <v>108</v>
      </c>
    </row>
    <row r="4" spans="2:6" ht="14.4" customHeight="1" x14ac:dyDescent="0.3">
      <c r="B4" s="1" t="s">
        <v>41</v>
      </c>
      <c r="D4" s="4" t="s">
        <v>67</v>
      </c>
    </row>
    <row r="5" spans="2:6" ht="14.4" customHeight="1" x14ac:dyDescent="0.3">
      <c r="B5" s="1" t="s">
        <v>42</v>
      </c>
      <c r="C5" s="1"/>
      <c r="D5" s="4" t="s">
        <v>64</v>
      </c>
    </row>
    <row r="6" spans="2:6" ht="14.4" customHeight="1" x14ac:dyDescent="0.3">
      <c r="B6" s="1"/>
      <c r="C6" s="1"/>
      <c r="D6" s="4" t="s">
        <v>73</v>
      </c>
    </row>
    <row r="7" spans="2:6" ht="14.4" customHeight="1" x14ac:dyDescent="0.3">
      <c r="D7" s="4" t="s">
        <v>68</v>
      </c>
    </row>
    <row r="8" spans="2:6" ht="86.4" x14ac:dyDescent="0.3">
      <c r="D8" s="4" t="s">
        <v>69</v>
      </c>
    </row>
    <row r="9" spans="2:6" ht="14.4" customHeight="1" x14ac:dyDescent="0.3">
      <c r="D9" s="4" t="s">
        <v>70</v>
      </c>
    </row>
    <row r="10" spans="2:6" ht="14.4" customHeight="1" x14ac:dyDescent="0.3">
      <c r="D10" s="4" t="s">
        <v>71</v>
      </c>
    </row>
    <row r="11" spans="2:6" ht="14.4" customHeight="1" x14ac:dyDescent="0.3">
      <c r="D11" s="4" t="str">
        <f>IF($M$23="STPAR","Trip 1 Fasa S &amp; Disusul Trip Fasa RT, Kemudian Reclose","Trip 1 Fasa S &amp; Disusul Trip Fasa RT")</f>
        <v>Trip 1 Fasa S &amp; Disusul Trip Fasa RT</v>
      </c>
    </row>
    <row r="12" spans="2:6" ht="14.4" customHeight="1" x14ac:dyDescent="0.3">
      <c r="D12" s="4" t="s">
        <v>72</v>
      </c>
    </row>
    <row r="13" spans="2:6" ht="14.4" customHeight="1" x14ac:dyDescent="0.3"/>
    <row r="14" spans="2:6" ht="14.4" customHeight="1" x14ac:dyDescent="0.3"/>
    <row r="15" spans="2:6" ht="14.4" customHeight="1" x14ac:dyDescent="0.3"/>
    <row r="16" spans="2:6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5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COVER</vt:lpstr>
      <vt:lpstr>DIFF TRAFO</vt:lpstr>
      <vt:lpstr>OCR-GFR HV</vt:lpstr>
      <vt:lpstr>OCR-GFR LV</vt:lpstr>
      <vt:lpstr>SBEF</vt:lpstr>
      <vt:lpstr>UJI FUNGSI</vt:lpstr>
      <vt:lpstr>DATA VALIDASI</vt:lpstr>
      <vt:lpstr>COVER!Print_Area</vt:lpstr>
      <vt:lpstr>'DIFF TRAFO'!Print_Area</vt:lpstr>
      <vt:lpstr>'OCR-GFR HV'!Print_Area</vt:lpstr>
      <vt:lpstr>'OCR-GFR LV'!Print_Area</vt:lpstr>
      <vt:lpstr>SBEF!Print_Area</vt:lpstr>
      <vt:lpstr>'UJI FUNGSI'!Print_Area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DINARA ENGGAR PRABAKTI</dc:creator>
  <cp:lastModifiedBy>Riki Hardianto</cp:lastModifiedBy>
  <cp:lastPrinted>2026-06-25T13:03:42Z</cp:lastPrinted>
  <dcterms:created xsi:type="dcterms:W3CDTF">2024-05-12T11:35:50Z</dcterms:created>
  <dcterms:modified xsi:type="dcterms:W3CDTF">2026-06-25T13:06:33Z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2024-05-12T11:35:53Z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2bfbe0df-0570-4de2-861f-2fa48a100e7b</vt:lpwstr>
  </property>
  <property fmtid="{D5CDD505-2E9C-101B-9397-08002B2CF9AE}" pid="8" name="MSIP_Label_defa4170-0d19-0005-0004-bc88714345d2_ContentBits">
    <vt:lpwstr>0</vt:lpwstr>
  </property>
</Properties>
</file>
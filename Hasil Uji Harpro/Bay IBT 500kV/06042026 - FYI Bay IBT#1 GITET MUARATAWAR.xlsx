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HAR\2026\GISTET MUARATAWAR\07042026-FYI BAY IBT 1\"/>
    </mc:Choice>
  </mc:AlternateContent>
  <xr:revisionPtr revIDLastSave="0" documentId="13_ncr:1_{8CE89CEB-C1BE-4499-BA29-AA3EC2B9AE40}" xr6:coauthVersionLast="47" xr6:coauthVersionMax="47" xr10:uidLastSave="{00000000-0000-0000-0000-000000000000}"/>
  <bookViews>
    <workbookView xWindow="-108" yWindow="-108" windowWidth="23256" windowHeight="13896" activeTab="1" xr2:uid="{4B7A460E-DA69-4FDF-9204-0C3816DC5A56}"/>
  </bookViews>
  <sheets>
    <sheet name="COVER" sheetId="1" r:id="rId1"/>
    <sheet name="DIFF-REF MAIN A" sheetId="2" r:id="rId2"/>
    <sheet name="DIFF-REF MAIN B" sheetId="7" r:id="rId3"/>
    <sheet name="CCP MAIN A" sheetId="5" r:id="rId4"/>
    <sheet name="CCP MAIN B" sheetId="6" r:id="rId5"/>
    <sheet name="OCR-GFR HV" sheetId="3" r:id="rId6"/>
    <sheet name="OCR-GFR LV" sheetId="4" r:id="rId7"/>
    <sheet name="NVDR-OV" sheetId="12" r:id="rId8"/>
    <sheet name="UJI FUNGSI" sheetId="13" r:id="rId9"/>
  </sheets>
  <definedNames>
    <definedName name="_xlnm.Print_Area" localSheetId="3">'CCP MAIN A'!$A$2:$K$60</definedName>
    <definedName name="_xlnm.Print_Area" localSheetId="4">'CCP MAIN B'!$A$2:$K$60</definedName>
    <definedName name="_xlnm.Print_Area" localSheetId="0">COVER!$B$2:$AD$69</definedName>
    <definedName name="_xlnm.Print_Area" localSheetId="1">'DIFF-REF MAIN A'!$B$2:$AG$125</definedName>
    <definedName name="_xlnm.Print_Area" localSheetId="2">'DIFF-REF MAIN B'!$B$2:$AG$125</definedName>
    <definedName name="_xlnm.Print_Area" localSheetId="5">'OCR-GFR HV'!$B$2:$AG$79</definedName>
    <definedName name="_xlnm.Print_Area" localSheetId="6">'OCR-GFR LV'!$B$2:$AG$85</definedName>
    <definedName name="_xlnm.Print_Area" localSheetId="8">'UJI FUNGSI'!$A$1:$AE$51</definedName>
    <definedName name="_xlnm.Print_Titles" localSheetId="3">'CCP MAIN A'!$2:$6</definedName>
    <definedName name="_xlnm.Print_Titles" localSheetId="4">'CCP MAIN B'!$2:$6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0" i="13" l="1"/>
  <c r="U29" i="13"/>
  <c r="U28" i="13"/>
  <c r="U27" i="13"/>
  <c r="U26" i="13"/>
  <c r="U25" i="13"/>
  <c r="U24" i="13"/>
  <c r="U23" i="13"/>
  <c r="U22" i="13"/>
  <c r="U21" i="13"/>
  <c r="U13" i="13"/>
  <c r="U12" i="13"/>
  <c r="U11" i="13"/>
  <c r="U10" i="13"/>
  <c r="Q16" i="13" s="1"/>
  <c r="Q33" i="13" l="1"/>
  <c r="Q42" i="13"/>
  <c r="F28" i="12" l="1"/>
  <c r="N105" i="7" l="1"/>
  <c r="N104" i="7"/>
  <c r="X97" i="7"/>
  <c r="R97" i="7"/>
  <c r="V97" i="7" s="1"/>
  <c r="X96" i="7"/>
  <c r="R96" i="7"/>
  <c r="V96" i="7" s="1"/>
  <c r="S99" i="7" s="1"/>
  <c r="X89" i="7"/>
  <c r="R89" i="7"/>
  <c r="V89" i="7" s="1"/>
  <c r="X88" i="7"/>
  <c r="V88" i="7"/>
  <c r="R88" i="7"/>
  <c r="X87" i="7"/>
  <c r="R87" i="7"/>
  <c r="V87" i="7" s="1"/>
  <c r="X86" i="7"/>
  <c r="R86" i="7"/>
  <c r="V86" i="7" s="1"/>
  <c r="X79" i="7"/>
  <c r="R79" i="7"/>
  <c r="V79" i="7" s="1"/>
  <c r="X78" i="7"/>
  <c r="R78" i="7"/>
  <c r="V78" i="7" s="1"/>
  <c r="X71" i="7"/>
  <c r="R71" i="7"/>
  <c r="V71" i="7" s="1"/>
  <c r="X70" i="7"/>
  <c r="R70" i="7"/>
  <c r="V70" i="7" s="1"/>
  <c r="X63" i="7"/>
  <c r="V63" i="7"/>
  <c r="R63" i="7"/>
  <c r="X62" i="7"/>
  <c r="R62" i="7"/>
  <c r="V62" i="7" s="1"/>
  <c r="X61" i="7"/>
  <c r="R61" i="7"/>
  <c r="V61" i="7" s="1"/>
  <c r="X60" i="7"/>
  <c r="R60" i="7"/>
  <c r="V60" i="7" s="1"/>
  <c r="X53" i="7"/>
  <c r="R53" i="7"/>
  <c r="V53" i="7" s="1"/>
  <c r="S55" i="7" s="1"/>
  <c r="R52" i="7"/>
  <c r="R51" i="7"/>
  <c r="R50" i="7"/>
  <c r="X43" i="7"/>
  <c r="R43" i="7"/>
  <c r="V43" i="7" s="1"/>
  <c r="X42" i="7"/>
  <c r="R42" i="7"/>
  <c r="V42" i="7" s="1"/>
  <c r="X41" i="7"/>
  <c r="V41" i="7"/>
  <c r="R41" i="7"/>
  <c r="X40" i="7"/>
  <c r="R40" i="7"/>
  <c r="V40" i="7" s="1"/>
  <c r="X33" i="7"/>
  <c r="R33" i="7"/>
  <c r="V33" i="7" s="1"/>
  <c r="S35" i="7" s="1"/>
  <c r="R32" i="7"/>
  <c r="R31" i="7"/>
  <c r="R30" i="7"/>
  <c r="X23" i="7"/>
  <c r="R23" i="7"/>
  <c r="V23" i="7" s="1"/>
  <c r="X22" i="7"/>
  <c r="R22" i="7"/>
  <c r="V22" i="7" s="1"/>
  <c r="X21" i="7"/>
  <c r="R21" i="7"/>
  <c r="V21" i="7" s="1"/>
  <c r="X20" i="7"/>
  <c r="R20" i="7"/>
  <c r="V20" i="7" s="1"/>
  <c r="X13" i="7"/>
  <c r="R13" i="7"/>
  <c r="V13" i="7" s="1"/>
  <c r="S15" i="7" s="1"/>
  <c r="R12" i="7"/>
  <c r="R11" i="7"/>
  <c r="R10" i="7"/>
  <c r="X66" i="4"/>
  <c r="R66" i="4"/>
  <c r="V66" i="4" s="1"/>
  <c r="X65" i="4"/>
  <c r="R65" i="4"/>
  <c r="V65" i="4" s="1"/>
  <c r="X64" i="4"/>
  <c r="R64" i="4"/>
  <c r="V64" i="4" s="1"/>
  <c r="X63" i="4"/>
  <c r="R63" i="4"/>
  <c r="V63" i="4" s="1"/>
  <c r="S68" i="4" s="1"/>
  <c r="X56" i="4"/>
  <c r="R56" i="4"/>
  <c r="V56" i="4" s="1"/>
  <c r="X55" i="4"/>
  <c r="R55" i="4"/>
  <c r="V55" i="4" s="1"/>
  <c r="X54" i="4"/>
  <c r="R54" i="4"/>
  <c r="V54" i="4" s="1"/>
  <c r="X53" i="4"/>
  <c r="R53" i="4"/>
  <c r="V53" i="4" s="1"/>
  <c r="AB41" i="4"/>
  <c r="AB42" i="4" s="1"/>
  <c r="AB44" i="4" s="1"/>
  <c r="W41" i="4"/>
  <c r="W42" i="4" s="1"/>
  <c r="W44" i="4" s="1"/>
  <c r="R41" i="4"/>
  <c r="R42" i="4" s="1"/>
  <c r="R44" i="4" s="1"/>
  <c r="M41" i="4"/>
  <c r="M42" i="4" s="1"/>
  <c r="M44" i="4" s="1"/>
  <c r="AB37" i="4"/>
  <c r="AB38" i="4" s="1"/>
  <c r="AB40" i="4" s="1"/>
  <c r="W37" i="4"/>
  <c r="W38" i="4" s="1"/>
  <c r="W40" i="4" s="1"/>
  <c r="R37" i="4"/>
  <c r="R38" i="4" s="1"/>
  <c r="R40" i="4" s="1"/>
  <c r="M37" i="4"/>
  <c r="M38" i="4" s="1"/>
  <c r="M40" i="4" s="1"/>
  <c r="M34" i="4"/>
  <c r="M36" i="4" s="1"/>
  <c r="AB33" i="4"/>
  <c r="AB34" i="4" s="1"/>
  <c r="AB36" i="4" s="1"/>
  <c r="W33" i="4"/>
  <c r="W34" i="4" s="1"/>
  <c r="W36" i="4" s="1"/>
  <c r="R33" i="4"/>
  <c r="R34" i="4" s="1"/>
  <c r="R36" i="4" s="1"/>
  <c r="M33" i="4"/>
  <c r="AB29" i="4"/>
  <c r="AB30" i="4" s="1"/>
  <c r="AB32" i="4" s="1"/>
  <c r="W29" i="4"/>
  <c r="W30" i="4" s="1"/>
  <c r="W32" i="4" s="1"/>
  <c r="R29" i="4"/>
  <c r="R30" i="4" s="1"/>
  <c r="R32" i="4" s="1"/>
  <c r="M29" i="4"/>
  <c r="M30" i="4" s="1"/>
  <c r="M32" i="4" s="1"/>
  <c r="AB21" i="4"/>
  <c r="AB22" i="4" s="1"/>
  <c r="W21" i="4"/>
  <c r="W22" i="4" s="1"/>
  <c r="R21" i="4"/>
  <c r="R22" i="4" s="1"/>
  <c r="M21" i="4"/>
  <c r="M22" i="4" s="1"/>
  <c r="AB18" i="4"/>
  <c r="AB19" i="4" s="1"/>
  <c r="W18" i="4"/>
  <c r="W19" i="4" s="1"/>
  <c r="R18" i="4"/>
  <c r="R19" i="4" s="1"/>
  <c r="M18" i="4"/>
  <c r="M19" i="4" s="1"/>
  <c r="X60" i="3"/>
  <c r="R60" i="3"/>
  <c r="V60" i="3" s="1"/>
  <c r="S62" i="3" s="1"/>
  <c r="X53" i="3"/>
  <c r="R53" i="3"/>
  <c r="V53" i="3" s="1"/>
  <c r="S55" i="3" s="1"/>
  <c r="AB42" i="3"/>
  <c r="AB44" i="3" s="1"/>
  <c r="AB41" i="3"/>
  <c r="W41" i="3"/>
  <c r="W42" i="3" s="1"/>
  <c r="W44" i="3" s="1"/>
  <c r="R41" i="3"/>
  <c r="AG41" i="3" s="1"/>
  <c r="M41" i="3"/>
  <c r="M42" i="3" s="1"/>
  <c r="M44" i="3" s="1"/>
  <c r="AB37" i="3"/>
  <c r="AB38" i="3" s="1"/>
  <c r="AB40" i="3" s="1"/>
  <c r="W37" i="3"/>
  <c r="W38" i="3" s="1"/>
  <c r="W40" i="3" s="1"/>
  <c r="R37" i="3"/>
  <c r="R38" i="3" s="1"/>
  <c r="R40" i="3" s="1"/>
  <c r="M37" i="3"/>
  <c r="M38" i="3" s="1"/>
  <c r="M40" i="3" s="1"/>
  <c r="AB33" i="3"/>
  <c r="AB34" i="3" s="1"/>
  <c r="AB36" i="3" s="1"/>
  <c r="W33" i="3"/>
  <c r="W34" i="3" s="1"/>
  <c r="W36" i="3" s="1"/>
  <c r="R33" i="3"/>
  <c r="R34" i="3" s="1"/>
  <c r="R36" i="3" s="1"/>
  <c r="M33" i="3"/>
  <c r="M34" i="3" s="1"/>
  <c r="M36" i="3" s="1"/>
  <c r="AB29" i="3"/>
  <c r="AB30" i="3" s="1"/>
  <c r="AB32" i="3" s="1"/>
  <c r="W29" i="3"/>
  <c r="W30" i="3" s="1"/>
  <c r="W32" i="3" s="1"/>
  <c r="R29" i="3"/>
  <c r="R30" i="3" s="1"/>
  <c r="R32" i="3" s="1"/>
  <c r="M29" i="3"/>
  <c r="M30" i="3" s="1"/>
  <c r="M32" i="3" s="1"/>
  <c r="AB21" i="3"/>
  <c r="AB22" i="3" s="1"/>
  <c r="W21" i="3"/>
  <c r="W22" i="3" s="1"/>
  <c r="R21" i="3"/>
  <c r="R22" i="3" s="1"/>
  <c r="M21" i="3"/>
  <c r="M22" i="3" s="1"/>
  <c r="AB18" i="3"/>
  <c r="AB19" i="3" s="1"/>
  <c r="W18" i="3"/>
  <c r="W19" i="3" s="1"/>
  <c r="R18" i="3"/>
  <c r="R19" i="3" s="1"/>
  <c r="M18" i="3"/>
  <c r="M19" i="3" s="1"/>
  <c r="N105" i="2"/>
  <c r="N104" i="2"/>
  <c r="S107" i="2" s="1"/>
  <c r="X97" i="2"/>
  <c r="R97" i="2"/>
  <c r="V97" i="2" s="1"/>
  <c r="X96" i="2"/>
  <c r="R96" i="2"/>
  <c r="V96" i="2" s="1"/>
  <c r="S99" i="2" s="1"/>
  <c r="X89" i="2"/>
  <c r="R89" i="2"/>
  <c r="V89" i="2" s="1"/>
  <c r="X88" i="2"/>
  <c r="R88" i="2"/>
  <c r="V88" i="2" s="1"/>
  <c r="X87" i="2"/>
  <c r="R87" i="2"/>
  <c r="V87" i="2" s="1"/>
  <c r="X86" i="2"/>
  <c r="R86" i="2"/>
  <c r="V86" i="2" s="1"/>
  <c r="X79" i="2"/>
  <c r="R79" i="2"/>
  <c r="V79" i="2" s="1"/>
  <c r="X78" i="2"/>
  <c r="R78" i="2"/>
  <c r="V78" i="2" s="1"/>
  <c r="X71" i="2"/>
  <c r="R71" i="2"/>
  <c r="V71" i="2" s="1"/>
  <c r="X70" i="2"/>
  <c r="R70" i="2"/>
  <c r="V70" i="2" s="1"/>
  <c r="X63" i="2"/>
  <c r="R63" i="2"/>
  <c r="V63" i="2" s="1"/>
  <c r="X62" i="2"/>
  <c r="R62" i="2"/>
  <c r="V62" i="2" s="1"/>
  <c r="X61" i="2"/>
  <c r="R61" i="2"/>
  <c r="V61" i="2" s="1"/>
  <c r="X60" i="2"/>
  <c r="R60" i="2"/>
  <c r="V60" i="2" s="1"/>
  <c r="S65" i="2" s="1"/>
  <c r="X53" i="2"/>
  <c r="R53" i="2"/>
  <c r="V53" i="2" s="1"/>
  <c r="S55" i="2" s="1"/>
  <c r="R52" i="2"/>
  <c r="R51" i="2"/>
  <c r="R50" i="2"/>
  <c r="X43" i="2"/>
  <c r="R43" i="2"/>
  <c r="V43" i="2" s="1"/>
  <c r="X42" i="2"/>
  <c r="R42" i="2"/>
  <c r="V42" i="2" s="1"/>
  <c r="X41" i="2"/>
  <c r="R41" i="2"/>
  <c r="V41" i="2" s="1"/>
  <c r="X40" i="2"/>
  <c r="R40" i="2"/>
  <c r="V40" i="2" s="1"/>
  <c r="X33" i="2"/>
  <c r="R33" i="2"/>
  <c r="V33" i="2" s="1"/>
  <c r="S35" i="2" s="1"/>
  <c r="R32" i="2"/>
  <c r="R31" i="2"/>
  <c r="R30" i="2"/>
  <c r="X23" i="2"/>
  <c r="R23" i="2"/>
  <c r="V23" i="2" s="1"/>
  <c r="X22" i="2"/>
  <c r="R22" i="2"/>
  <c r="V22" i="2" s="1"/>
  <c r="X21" i="2"/>
  <c r="R21" i="2"/>
  <c r="V21" i="2" s="1"/>
  <c r="X20" i="2"/>
  <c r="R20" i="2"/>
  <c r="V20" i="2" s="1"/>
  <c r="X13" i="2"/>
  <c r="R13" i="2"/>
  <c r="V13" i="2" s="1"/>
  <c r="S15" i="2" s="1"/>
  <c r="R12" i="2"/>
  <c r="R11" i="2"/>
  <c r="R10" i="2"/>
  <c r="R42" i="3" l="1"/>
  <c r="R44" i="3" s="1"/>
  <c r="R45" i="3" s="1"/>
  <c r="R46" i="3" s="1"/>
  <c r="S25" i="7"/>
  <c r="S73" i="7"/>
  <c r="AB45" i="3"/>
  <c r="AB46" i="3" s="1"/>
  <c r="S107" i="7"/>
  <c r="M45" i="4"/>
  <c r="M46" i="4" s="1"/>
  <c r="S45" i="2"/>
  <c r="W45" i="3"/>
  <c r="W46" i="3" s="1"/>
  <c r="S81" i="7"/>
  <c r="S73" i="2"/>
  <c r="S45" i="7"/>
  <c r="S91" i="7"/>
  <c r="S65" i="7"/>
  <c r="AG19" i="4"/>
  <c r="S24" i="4"/>
  <c r="AG18" i="4"/>
  <c r="R45" i="4"/>
  <c r="R46" i="4" s="1"/>
  <c r="AG22" i="4"/>
  <c r="AG21" i="4"/>
  <c r="W45" i="4"/>
  <c r="W46" i="4" s="1"/>
  <c r="AB45" i="4"/>
  <c r="AB46" i="4" s="1"/>
  <c r="S58" i="4"/>
  <c r="AG33" i="4"/>
  <c r="AG41" i="4"/>
  <c r="M45" i="3"/>
  <c r="M46" i="3" s="1"/>
  <c r="S24" i="3"/>
  <c r="AG18" i="3"/>
  <c r="AG19" i="3"/>
  <c r="AG21" i="3"/>
  <c r="AG22" i="3"/>
  <c r="AG33" i="3"/>
  <c r="S91" i="2"/>
  <c r="S25" i="2"/>
  <c r="S81" i="2"/>
  <c r="S48" i="3" l="1"/>
  <c r="S71" i="3" s="1"/>
  <c r="S116" i="2"/>
  <c r="S48" i="4"/>
  <c r="S77" i="4" s="1"/>
  <c r="S116" i="7"/>
</calcChain>
</file>

<file path=xl/sharedStrings.xml><?xml version="1.0" encoding="utf-8"?>
<sst xmlns="http://schemas.openxmlformats.org/spreadsheetml/2006/main" count="1202" uniqueCount="410">
  <si>
    <t xml:space="preserve">LAPORAN TEKNIK PEMELIHARAAN RUTIN </t>
  </si>
  <si>
    <t>PT PLN (PERSERO) UNIT INDUK TRANSMISI</t>
  </si>
  <si>
    <t>JAWA BAGIAN TENGAH</t>
  </si>
  <si>
    <t>UPT</t>
  </si>
  <si>
    <t>:</t>
  </si>
  <si>
    <t>BEKASI</t>
  </si>
  <si>
    <t xml:space="preserve">ULTG </t>
  </si>
  <si>
    <t>GI / GITET</t>
  </si>
  <si>
    <t>BAY</t>
  </si>
  <si>
    <t>TANGGAL</t>
  </si>
  <si>
    <t>Merk Relai</t>
  </si>
  <si>
    <t>ALSTOM</t>
  </si>
  <si>
    <t>Tipe Relai</t>
  </si>
  <si>
    <t>No Serie</t>
  </si>
  <si>
    <t>Tahun Operasi</t>
  </si>
  <si>
    <t>Rasio CT</t>
  </si>
  <si>
    <t>Alat Uji</t>
  </si>
  <si>
    <t>KESIMPULAN HASIL PEMELIHARAAN RUTIN SISTEM PROTEKSI</t>
  </si>
  <si>
    <t>Hasil Assessment Proteksi</t>
  </si>
  <si>
    <t>Pelaksana</t>
  </si>
  <si>
    <t>Supervisi</t>
  </si>
  <si>
    <t>RIZKY W. H.</t>
  </si>
  <si>
    <t>PT PLN (Persero) Unit Induk Transmisi Jawa Bagian Tengah</t>
  </si>
  <si>
    <t>Sub Bidang Pemeliharaan Proteksi &amp; meter</t>
  </si>
  <si>
    <t>Tahun 2024</t>
  </si>
  <si>
    <t>Spesifikasi Relai Proteksi OCR/GFR 150 kV</t>
  </si>
  <si>
    <t>Rasio CT HV</t>
  </si>
  <si>
    <t>Rasio CTN HV</t>
  </si>
  <si>
    <t>Rasio CT LV</t>
  </si>
  <si>
    <t>2000/1 A</t>
  </si>
  <si>
    <t>Rasio CTN LV</t>
  </si>
  <si>
    <t>OMICRON CMC356</t>
  </si>
  <si>
    <t>66000/100 V</t>
  </si>
  <si>
    <t>SISTEM PROTEKSI BAY IBT 500/150 KV</t>
  </si>
  <si>
    <t>Spesifikasi Relai Proteksi OCR/GFR 500 kV</t>
  </si>
  <si>
    <t>Spesifikasi Relai Proteksi Diff Main A</t>
  </si>
  <si>
    <t>Spesifikasi Relai Proteksi Diff Main B</t>
  </si>
  <si>
    <t>Spesifikasi Relai Proteksi CCP Main A</t>
  </si>
  <si>
    <t>Spesifikasi Relai Proteksi CCP Main B</t>
  </si>
  <si>
    <t>Rasio CT AB</t>
  </si>
  <si>
    <t>Rasio CT B</t>
  </si>
  <si>
    <t>Rasio CT Line</t>
  </si>
  <si>
    <t>Spesifikasi Relai Proteksi NVDR</t>
  </si>
  <si>
    <t>EDWAR D. V.</t>
  </si>
  <si>
    <t>1000/1 A</t>
  </si>
  <si>
    <t>Rasio VT</t>
  </si>
  <si>
    <t>-</t>
  </si>
  <si>
    <t>PT PLN (Persero) Transmisi Jawa Bagian Tengah</t>
  </si>
  <si>
    <t>ULTG</t>
  </si>
  <si>
    <t>1.1</t>
  </si>
  <si>
    <t>Pengujian Arus Minimum Pickup DIFF Sisi HV</t>
  </si>
  <si>
    <t>NO</t>
  </si>
  <si>
    <t>Fasa Pengujian</t>
  </si>
  <si>
    <t>Setting Arus  (Ampere)</t>
  </si>
  <si>
    <t>Hasil Uji Pickup Arus (Ampere)</t>
  </si>
  <si>
    <t>Nilai Error (Persen)</t>
  </si>
  <si>
    <t>Assessment</t>
  </si>
  <si>
    <t>Indikasi</t>
  </si>
  <si>
    <t>R *)</t>
  </si>
  <si>
    <t>DIFF TRIP Ph R</t>
  </si>
  <si>
    <t>S *)</t>
  </si>
  <si>
    <t>DIFF TRIP Ph S</t>
  </si>
  <si>
    <t>T *)</t>
  </si>
  <si>
    <t>DIFF TRIP Ph T</t>
  </si>
  <si>
    <t>RST</t>
  </si>
  <si>
    <t>DIFF TRIP Ph R-S-T</t>
  </si>
  <si>
    <t>Assessment Pengujian Arus Minimum Pickup HV</t>
  </si>
  <si>
    <t>1.2</t>
  </si>
  <si>
    <t>Pengujian Waktu Kerja Diff Sisi HV</t>
  </si>
  <si>
    <t>Setting Waktu (s)</t>
  </si>
  <si>
    <t>Hasil Pengujian  (s)</t>
  </si>
  <si>
    <t>Assessment Pengujian Waktu Kerja Diff Sisi HV</t>
  </si>
  <si>
    <t>1.3</t>
  </si>
  <si>
    <t>Pengujian Arus Minimum Pickup Sisi LV</t>
  </si>
  <si>
    <t>Assessment Pengujian Arus Minimum Pickup LV</t>
  </si>
  <si>
    <t>1.4</t>
  </si>
  <si>
    <t>Pengujian Waktu Kerja Diff Sisi LV</t>
  </si>
  <si>
    <t>R</t>
  </si>
  <si>
    <t>S</t>
  </si>
  <si>
    <t>T</t>
  </si>
  <si>
    <t>Assessment Pengujian Waktu Kerja Diff Sisi LV</t>
  </si>
  <si>
    <t>1.5</t>
  </si>
  <si>
    <t>Pengujian Arus Minimum Pickup Sisi TV</t>
  </si>
  <si>
    <t>Assessment Pengujian Arus Minimum Pickup TV</t>
  </si>
  <si>
    <t>1.6</t>
  </si>
  <si>
    <t>Pengujian Waktu Kerja Diff Sisi TV</t>
  </si>
  <si>
    <t>Assessment Pengujian Waktu Kerja Diff Sisi TV</t>
  </si>
  <si>
    <t>1.7</t>
  </si>
  <si>
    <t>Pengujian Arus Minimum Pickup REF</t>
  </si>
  <si>
    <t>Item Pengujian</t>
  </si>
  <si>
    <t>REF HV</t>
  </si>
  <si>
    <t>REF LV</t>
  </si>
  <si>
    <t>Assessment Pengujian Arus Minimum Pickup REF</t>
  </si>
  <si>
    <t>1.8</t>
  </si>
  <si>
    <t>Pengujian Waktu Kerja REF</t>
  </si>
  <si>
    <t>Assessment Pengujian Waktu Kerja REF</t>
  </si>
  <si>
    <t>1.9</t>
  </si>
  <si>
    <t>Pengujian Slope Diff</t>
  </si>
  <si>
    <t>Nilai Idiff Acuan (In / pu / A)*</t>
  </si>
  <si>
    <t>Nilai Idiff Hasil Uji (In / pu / A)*</t>
  </si>
  <si>
    <t>*input hasil uji dengan error tertinggi</t>
  </si>
  <si>
    <t>Assessment Pengujian Slope Diff</t>
  </si>
  <si>
    <t>1.10</t>
  </si>
  <si>
    <t>Pengujian  2nd &amp; 5th Harmonic</t>
  </si>
  <si>
    <t>Nilai Ixf/IDiff Acuan (%)</t>
  </si>
  <si>
    <t>Nilai Ixf/IDiff Hasil Uji (%)</t>
  </si>
  <si>
    <t>2nd Harm</t>
  </si>
  <si>
    <t>5th Harm</t>
  </si>
  <si>
    <t>Assessment Pengujian 2nd &amp; 5th Harmonic</t>
  </si>
  <si>
    <t>1.11</t>
  </si>
  <si>
    <t>Pengujian Zero Sequence Filtering</t>
  </si>
  <si>
    <t>Kondisi Fungsi Zero Sequnce Filtering</t>
  </si>
  <si>
    <t>Hasil Pengujian (Trip / No Trip)</t>
  </si>
  <si>
    <t>Non Aktif</t>
  </si>
  <si>
    <t>Aktif</t>
  </si>
  <si>
    <t>Assessment Pengujian Zero Sequence Filtering</t>
  </si>
  <si>
    <t>1.12</t>
  </si>
  <si>
    <t>Evaluasi dan Keterangan</t>
  </si>
  <si>
    <t>1.9 PENGUJIAN SLOPE MENGGUNAKAN LANGSUNG 3 FASA BERDASARKAN ALAT UJI</t>
  </si>
  <si>
    <t>1.13</t>
  </si>
  <si>
    <t>Kesimpulan :</t>
  </si>
  <si>
    <t>Assessment Pengujian Individu Differential / REF</t>
  </si>
  <si>
    <t>*)</t>
  </si>
  <si>
    <t xml:space="preserve">Pengujian pickup 1 fasa dilakukan dengan mempertimbangkan desain (BO Diff dan REF terpisah) dan keamanan (apabila diperlukan blocking fungsi REF). Pada pengujian pickup 1 fasa akan mendapat error yang besar. </t>
  </si>
  <si>
    <t>Rizky W. H.</t>
  </si>
  <si>
    <t>Edwar D. V.</t>
  </si>
  <si>
    <t>Setting OCR dan GFR HV</t>
  </si>
  <si>
    <t>Setting Arus Pickup OCR</t>
  </si>
  <si>
    <t>A</t>
  </si>
  <si>
    <t>Setting TMS OCR</t>
  </si>
  <si>
    <t>Setting Arus Pickup GFR</t>
  </si>
  <si>
    <t>Setting TMS GFR</t>
  </si>
  <si>
    <t>2.1</t>
  </si>
  <si>
    <t>Pengujian Arus Pickup dan Dropoff OCR/GFR HV</t>
  </si>
  <si>
    <t>Jenis Pengujian</t>
  </si>
  <si>
    <t>Parameter</t>
  </si>
  <si>
    <t>OCR R</t>
  </si>
  <si>
    <t>OCR S</t>
  </si>
  <si>
    <t>OCR T</t>
  </si>
  <si>
    <t>GFR</t>
  </si>
  <si>
    <t>Pickup</t>
  </si>
  <si>
    <t>Hasil Uji (A)</t>
  </si>
  <si>
    <t>% Error</t>
  </si>
  <si>
    <t>Dropoff</t>
  </si>
  <si>
    <t>% Rasio DO/PU</t>
  </si>
  <si>
    <t>Assessment Pengujian Pickup dan Dropoff</t>
  </si>
  <si>
    <t>2.2</t>
  </si>
  <si>
    <t>Pengujian Karakteristik Waktu Kerja OCR dan GFR HV</t>
  </si>
  <si>
    <t>Poin Pengujian</t>
  </si>
  <si>
    <t>1.5 x Iset</t>
  </si>
  <si>
    <t>2.0 x Iset</t>
  </si>
  <si>
    <t>2.5 x Iset</t>
  </si>
  <si>
    <t>3.0 x Iset</t>
  </si>
  <si>
    <t>OCR Fasa R</t>
  </si>
  <si>
    <t>Arus Injeksi (A)</t>
  </si>
  <si>
    <t>Hasil Kalkulasi (s)</t>
  </si>
  <si>
    <t>Hasil Uji (s)</t>
  </si>
  <si>
    <t>OCR Fasa S</t>
  </si>
  <si>
    <t>OCR Fasa T</t>
  </si>
  <si>
    <t>Kalkulasi Error Terbesar</t>
  </si>
  <si>
    <t>Hasil Asesmen</t>
  </si>
  <si>
    <t>Assessment Pengujian Karakteristik Waktu Kerja</t>
  </si>
  <si>
    <t>2.3</t>
  </si>
  <si>
    <t>Pengujian Arus Kerja OCR Moment/Highset HV</t>
  </si>
  <si>
    <t>OCR HS1</t>
  </si>
  <si>
    <t>OCR TRIP</t>
  </si>
  <si>
    <t>Assessment Pengujian Arus Kerja OCR Moment</t>
  </si>
  <si>
    <t>2.4</t>
  </si>
  <si>
    <t>Pengujian Waktu Kerja OCR Moment/Highset HV</t>
  </si>
  <si>
    <t>Setting Waktu Kerja (s)</t>
  </si>
  <si>
    <t>Hasil Uji Waktu Kerja (s)</t>
  </si>
  <si>
    <t>Assessment Pengujian Waktu Kerja OCR Moment/Highset HV</t>
  </si>
  <si>
    <t>2.5</t>
  </si>
  <si>
    <t>OCR dan GFR sisi 500 kV (HV)</t>
  </si>
  <si>
    <t>2.6</t>
  </si>
  <si>
    <t>Assessment Pengujian Individu OCR/GFR HV</t>
  </si>
  <si>
    <t>Setting OCR dan GFR LV</t>
  </si>
  <si>
    <t>3.1</t>
  </si>
  <si>
    <t>Pengujian Arus Pickup dan Dropoff OCR/GFR LV</t>
  </si>
  <si>
    <t>3.2</t>
  </si>
  <si>
    <t>Pengujian Karakteristik Waktu Kerja OCR dan GFR LV</t>
  </si>
  <si>
    <t>3.3</t>
  </si>
  <si>
    <t>Pengujian Arus Kerja OCR Moment/Highset LV</t>
  </si>
  <si>
    <t>OCR HS2</t>
  </si>
  <si>
    <t>GFR HS1</t>
  </si>
  <si>
    <t>GFR HS2</t>
  </si>
  <si>
    <t>3.4</t>
  </si>
  <si>
    <t>Pengujian Waktu Kerja OCR Moment/Highset LV</t>
  </si>
  <si>
    <t>Assessment Pengujian Waktu Kerja OCR Moment/Highset LV</t>
  </si>
  <si>
    <t>3.5</t>
  </si>
  <si>
    <t>OCR dan GFR sisi 150 kV (LV)</t>
  </si>
  <si>
    <t>3.6</t>
  </si>
  <si>
    <t>Assessment Pengujian Individu OCR/GFR LV</t>
  </si>
  <si>
    <t>PT. PLN (Persero) Unit Induk Transmisi Jawa Bagian Tengah</t>
  </si>
  <si>
    <t>: BEKASI</t>
  </si>
  <si>
    <t>HASIL UJI PROTEKSI CIRCULATING CURRENT PROTECTION (CCP) MAIN A</t>
  </si>
  <si>
    <t>Merk</t>
  </si>
  <si>
    <t>Ratio CT AB</t>
  </si>
  <si>
    <t>: 2000/1 A</t>
  </si>
  <si>
    <t>Type</t>
  </si>
  <si>
    <t>Ratio CT B</t>
  </si>
  <si>
    <t xml:space="preserve"> : </t>
  </si>
  <si>
    <t>Rating</t>
  </si>
  <si>
    <t>: 1 A</t>
  </si>
  <si>
    <t>Ratio CT LINE</t>
  </si>
  <si>
    <t>No.Serie</t>
  </si>
  <si>
    <t>Lokasi</t>
  </si>
  <si>
    <t>Thn Operasi</t>
  </si>
  <si>
    <t>: 2020</t>
  </si>
  <si>
    <t>Bay</t>
  </si>
  <si>
    <t>: IBT #1</t>
  </si>
  <si>
    <t>Proteksi</t>
  </si>
  <si>
    <t>: MAIN A</t>
  </si>
  <si>
    <t>Tanggal</t>
  </si>
  <si>
    <t>1. Pengujian Arus minimum Pick Up.</t>
  </si>
  <si>
    <t>No.</t>
  </si>
  <si>
    <t>Setting arus (I/IrObj)</t>
  </si>
  <si>
    <t>Phase Injection Fault</t>
  </si>
  <si>
    <t>Indication</t>
  </si>
  <si>
    <t>Pick Up (Amp.)</t>
  </si>
  <si>
    <t>Phasa R</t>
  </si>
  <si>
    <t>CCP Trip, Pickup Ph R</t>
  </si>
  <si>
    <t>Phasa S</t>
  </si>
  <si>
    <t>CCP Trip, Pickup Ph S</t>
  </si>
  <si>
    <t>Phasa T</t>
  </si>
  <si>
    <t>CCP Trip, Pickup Ph T</t>
  </si>
  <si>
    <t>2. Pengujian Waktu Kerja</t>
  </si>
  <si>
    <t>Waktu Kerja (s)</t>
  </si>
  <si>
    <t>3.Pengujian Fungsi PMT</t>
  </si>
  <si>
    <t>Injeksi</t>
  </si>
  <si>
    <t>Phasa</t>
  </si>
  <si>
    <t>Indikasi Relai</t>
  </si>
  <si>
    <t>Indikasi Announ. dan Horn</t>
  </si>
  <si>
    <t>PMT</t>
  </si>
  <si>
    <t>Keterangan</t>
  </si>
  <si>
    <t>Internal Fault</t>
  </si>
  <si>
    <t>CCP TRIP, RELAY PICKUP PHASE R</t>
  </si>
  <si>
    <t>TRIP</t>
  </si>
  <si>
    <t>CCP TRIP, RELAY PICKUP PHASE S</t>
  </si>
  <si>
    <t>Trip Lockout</t>
  </si>
  <si>
    <t>CCP TRIP, RELAY PICKUP PHASE T</t>
  </si>
  <si>
    <t>Eksternal Fault</t>
  </si>
  <si>
    <t>catatan :</t>
  </si>
  <si>
    <t>RELE KONDISI BAIK</t>
  </si>
  <si>
    <t>PELAKSANA</t>
  </si>
  <si>
    <t>SUPERVISI</t>
  </si>
  <si>
    <t xml:space="preserve">EDWAR D. V. </t>
  </si>
  <si>
    <t>HASIL UJI PROTEKSI CIRCULATING CURRENT PROTECTION (CCP) MAIN B</t>
  </si>
  <si>
    <t>: ALSTOM</t>
  </si>
  <si>
    <t>: OMICRON CMC356</t>
  </si>
  <si>
    <t>: MAIN B</t>
  </si>
  <si>
    <t>Setting arus (PU)</t>
  </si>
  <si>
    <t>TRIP, PHASA R</t>
  </si>
  <si>
    <t>TRIP, PHASA S</t>
  </si>
  <si>
    <t>TRIP, PHASA T</t>
  </si>
  <si>
    <t>REF TRIP HV</t>
  </si>
  <si>
    <t>REF TRIP LV</t>
  </si>
  <si>
    <t>Fungsi Proteksi</t>
  </si>
  <si>
    <t>Pengujian Fasa</t>
  </si>
  <si>
    <t>Kinerja Acuan</t>
  </si>
  <si>
    <t>Hasil Uji *)</t>
  </si>
  <si>
    <t>Indikasi Relai, Annunciator &amp; Lockout</t>
  </si>
  <si>
    <t>Trip 3 fasa, Lockout, PMT HV dan LV Trip</t>
  </si>
  <si>
    <t>OK</t>
  </si>
  <si>
    <t>Jika hasil uji sesuai, input hanya tulisan OK, jika tidak sesuai maka tulis sesuai hasil pengujian</t>
  </si>
  <si>
    <t>5.2</t>
  </si>
  <si>
    <t>Pengujian Fungsi  Backup Proteksi</t>
  </si>
  <si>
    <t>OCR HV</t>
  </si>
  <si>
    <t>OCR HV Moment</t>
  </si>
  <si>
    <t>GFR HV</t>
  </si>
  <si>
    <t>N</t>
  </si>
  <si>
    <t>OCR LV</t>
  </si>
  <si>
    <t>Trip 3 fasa, Lockout, PMT LV Trip</t>
  </si>
  <si>
    <t>OCR LV HS1</t>
  </si>
  <si>
    <t>OCR LV HS2</t>
  </si>
  <si>
    <t>GFR LV</t>
  </si>
  <si>
    <t>GFR LV HS1</t>
  </si>
  <si>
    <t>GFR LV HS2</t>
  </si>
  <si>
    <t>Assessment Pengujian Fungsi Backup Proteksi</t>
  </si>
  <si>
    <t>5.3</t>
  </si>
  <si>
    <t>5.4</t>
  </si>
  <si>
    <t xml:space="preserve">Assessment Pengujian Fungsi </t>
  </si>
  <si>
    <t>NVDR</t>
  </si>
  <si>
    <t>Riki H.</t>
  </si>
  <si>
    <t>Ervan Jagi MW</t>
  </si>
  <si>
    <t>OMICRON 356</t>
  </si>
  <si>
    <t>RIKI H.</t>
  </si>
  <si>
    <t>ERVAN JAGI MW</t>
  </si>
  <si>
    <t>Ervan Jagi M W</t>
  </si>
  <si>
    <t xml:space="preserve">: </t>
  </si>
  <si>
    <t>OVR</t>
  </si>
  <si>
    <t>4.3 HASIL  UJI PROTEKSI UNDER/OVER VOLTAGE RELAY</t>
  </si>
  <si>
    <t>Ratio PT</t>
  </si>
  <si>
    <t>No. Serie</t>
  </si>
  <si>
    <t>: 100 V</t>
  </si>
  <si>
    <t>Karakteristik</t>
  </si>
  <si>
    <t>ARUS  KERJA  MINIMUM  DAN  KEMBALI</t>
  </si>
  <si>
    <t>FASA</t>
  </si>
  <si>
    <t>OVER VOLT</t>
  </si>
  <si>
    <t>KETERANGAN</t>
  </si>
  <si>
    <t>TEGANGAN NOMINAL</t>
  </si>
  <si>
    <t>(Vn)</t>
  </si>
  <si>
    <t>Volt</t>
  </si>
  <si>
    <t>SETTING STAGE 1</t>
  </si>
  <si>
    <t>(Vs)</t>
  </si>
  <si>
    <t>ALARM</t>
  </si>
  <si>
    <t>SETTING STAGE 2</t>
  </si>
  <si>
    <t>(Vp)</t>
  </si>
  <si>
    <t>PICKUP</t>
  </si>
  <si>
    <t>WAKTU KERJA STAGE 1</t>
  </si>
  <si>
    <t>(t)</t>
  </si>
  <si>
    <t>s</t>
  </si>
  <si>
    <t>T alarm</t>
  </si>
  <si>
    <t>WAKTU KERJA STAGE 2</t>
  </si>
  <si>
    <t>T trip</t>
  </si>
  <si>
    <t>SETTING  AKHIR RELE</t>
  </si>
  <si>
    <t>POSISI  SETTING</t>
  </si>
  <si>
    <t xml:space="preserve">VOLTAGE </t>
  </si>
  <si>
    <t>Vn</t>
  </si>
  <si>
    <t>Vs</t>
  </si>
  <si>
    <t>(V)</t>
  </si>
  <si>
    <t>SESUAI</t>
  </si>
  <si>
    <t>Time Result</t>
  </si>
  <si>
    <t xml:space="preserve">PENGUJIAN FUNGSI </t>
  </si>
  <si>
    <t>INJEKSI</t>
  </si>
  <si>
    <t>INDIKASI</t>
  </si>
  <si>
    <t>ALARM; NVDR</t>
  </si>
  <si>
    <t>NO TRIP</t>
  </si>
  <si>
    <t>ALARM; TRIP; NVDR; LOCKOUT OP</t>
  </si>
  <si>
    <t>ALARM; OVR</t>
  </si>
  <si>
    <t>ALARM; TRIP; OVR; LOCKOUT OP</t>
  </si>
  <si>
    <t xml:space="preserve">CATATAN </t>
  </si>
  <si>
    <t>1.</t>
  </si>
  <si>
    <t>2.</t>
  </si>
  <si>
    <t>3.</t>
  </si>
  <si>
    <t>4</t>
  </si>
  <si>
    <t>5</t>
  </si>
  <si>
    <t>6</t>
  </si>
  <si>
    <t>OMICRON 364</t>
  </si>
  <si>
    <t>5 s</t>
  </si>
  <si>
    <t>2,5 s</t>
  </si>
  <si>
    <t>ERVAN JAGI M W</t>
  </si>
  <si>
    <t>RIKI H</t>
  </si>
  <si>
    <t>EDWAR DENDY</t>
  </si>
  <si>
    <t>RIZKY WIRA</t>
  </si>
  <si>
    <t>TEGANGAN KERJA T1</t>
  </si>
  <si>
    <t>TEGANGAN KERJA T2</t>
  </si>
  <si>
    <t>Riki H</t>
  </si>
  <si>
    <t>GITET 500 KV MUARATAWAR</t>
  </si>
  <si>
    <t>IBT #1 500MVA</t>
  </si>
  <si>
    <t>MICOM P643</t>
  </si>
  <si>
    <t>GE MULTILIN</t>
  </si>
  <si>
    <t>T60</t>
  </si>
  <si>
    <t>SCHNEIDER</t>
  </si>
  <si>
    <t>P7</t>
  </si>
  <si>
    <t>P5</t>
  </si>
  <si>
    <t>MICOM P143</t>
  </si>
  <si>
    <t>34196700/09/17</t>
  </si>
  <si>
    <t>2500/1 A</t>
  </si>
  <si>
    <t>ABHC17000986</t>
  </si>
  <si>
    <t>: P643</t>
  </si>
  <si>
    <t>: 34136689/09/17</t>
  </si>
  <si>
    <t>: 2025</t>
  </si>
  <si>
    <t>: OMICRON 356</t>
  </si>
  <si>
    <t>: 07 APRIL 2026</t>
  </si>
  <si>
    <t>34136689/09/17</t>
  </si>
  <si>
    <t>: GE MULTILIN</t>
  </si>
  <si>
    <t>:T60</t>
  </si>
  <si>
    <t>: ABHC17000989</t>
  </si>
  <si>
    <t>ABHC17000989</t>
  </si>
  <si>
    <t>SM2506564600002</t>
  </si>
  <si>
    <t>P5F30WSM24361600016</t>
  </si>
  <si>
    <t>: P143</t>
  </si>
  <si>
    <t>: 34193362/08/17</t>
  </si>
  <si>
    <t>IBT #1 SISI LV</t>
  </si>
  <si>
    <t>34193362/08/17</t>
  </si>
  <si>
    <t>REF HV TRIP</t>
  </si>
  <si>
    <t>REF LV TRIP</t>
  </si>
  <si>
    <t>DIFFERENSIAL TRIP RST</t>
  </si>
  <si>
    <t>DIFF TRIP PHASE R</t>
  </si>
  <si>
    <t>DIFF TRIP PHASE S</t>
  </si>
  <si>
    <t>DIFF TRIP PHASE T</t>
  </si>
  <si>
    <t>GITET MUARATAWAR</t>
  </si>
  <si>
    <t>: GITET MUARATAWAR</t>
  </si>
  <si>
    <t>: 7 APRIL 2026</t>
  </si>
  <si>
    <t>5.1</t>
  </si>
  <si>
    <t>Pengujian Fungsi Main Proteksi</t>
  </si>
  <si>
    <t>DIFF</t>
  </si>
  <si>
    <t>RST HV</t>
  </si>
  <si>
    <t>RST LV</t>
  </si>
  <si>
    <t>HV</t>
  </si>
  <si>
    <t>LV</t>
  </si>
  <si>
    <t>Assessment Pengujian Fungsi Main Proteksi</t>
  </si>
  <si>
    <t>SBEF</t>
  </si>
  <si>
    <t>PENGUJIAN FUNGSI PMT SESUAI DENGAN FUNGSINYA</t>
  </si>
  <si>
    <t>RIZKY WIRA H</t>
  </si>
  <si>
    <t xml:space="preserve">EDWAR DENDY </t>
  </si>
  <si>
    <t>RIKI HARDIANTO</t>
  </si>
  <si>
    <t>ERVAN JAGI M.W</t>
  </si>
  <si>
    <t>untuk fungsi Trip pada relay  NDVR pada rangkaian trip masih di block dengan open</t>
  </si>
  <si>
    <t>blade</t>
  </si>
  <si>
    <t>TRIP, REF HV&amp;K401</t>
  </si>
  <si>
    <t>TRIP, REF LV&amp;K401</t>
  </si>
  <si>
    <t>TRIP, I&gt;&gt; &amp;K402</t>
  </si>
  <si>
    <t>TRIP, IO&gt; &amp;K402</t>
  </si>
  <si>
    <t>TRIP ABC, 50/51 &gt;&amp;K403,K404</t>
  </si>
  <si>
    <t>50/51N&gt;&amp;K403,K404</t>
  </si>
  <si>
    <t>TRIP, DIFF PH ABC &amp;K401</t>
  </si>
  <si>
    <t>TRIP, DIFF PH ABC&amp;K401</t>
  </si>
  <si>
    <t>TRIP ABC, I&gt; &amp;K402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</si>
</sst>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\ mmmm\ yyyy"/>
  </numFmts>
  <fonts count="36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0"/>
      <name val="Aptos Narrow"/>
      <family val="2"/>
    </font>
    <font>
      <b/>
      <sz val="10"/>
      <name val="Aptos Narrow"/>
      <family val="2"/>
    </font>
    <font>
      <b/>
      <sz val="9"/>
      <name val="Aptos Narrow"/>
      <family val="2"/>
    </font>
    <font>
      <b/>
      <u/>
      <sz val="12"/>
      <name val="Aptos Narrow"/>
      <family val="2"/>
    </font>
    <font>
      <b/>
      <u/>
      <sz val="14"/>
      <name val="Aptos Narrow"/>
      <family val="2"/>
    </font>
    <font>
      <sz val="11"/>
      <name val="Aptos Narrow"/>
      <family val="2"/>
    </font>
    <font>
      <sz val="9"/>
      <name val="Aptos Narrow"/>
      <family val="2"/>
    </font>
    <font>
      <b/>
      <sz val="11"/>
      <name val="Aptos Narrow"/>
      <family val="2"/>
    </font>
    <font>
      <u/>
      <sz val="11"/>
      <name val="Aptos Narrow"/>
      <family val="2"/>
    </font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0"/>
      <color theme="1"/>
      <name val="Questrial"/>
    </font>
    <font>
      <b/>
      <u/>
      <sz val="10"/>
      <color theme="1"/>
      <name val="Calibri"/>
    </font>
    <font>
      <sz val="11"/>
      <name val="Aptos Narrow"/>
    </font>
    <font>
      <b/>
      <sz val="10"/>
      <color theme="1"/>
      <name val="Questrial"/>
    </font>
    <font>
      <sz val="10"/>
      <color rgb="FF000000"/>
      <name val="Calibri"/>
    </font>
    <font>
      <i/>
      <sz val="10"/>
      <color theme="1"/>
      <name val="Questrial"/>
    </font>
    <font>
      <sz val="11"/>
      <color theme="1"/>
      <name val="Calibri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</fills>
  <borders count="1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</borders>
  <cellStyleXfs count="5">
    <xf numFmtId="0" fontId="0" fillId="0" borderId="0"/>
    <xf numFmtId="9" fontId="8" fillId="0" borderId="0" applyFont="0" applyFill="0" applyBorder="0" applyAlignment="0" applyProtection="0"/>
    <xf numFmtId="0" fontId="13" fillId="0" borderId="0"/>
    <xf numFmtId="0" fontId="14" fillId="0" borderId="0"/>
    <xf numFmtId="0" fontId="24" fillId="0" borderId="0"/>
  </cellStyleXfs>
  <cellXfs count="48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10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5" xfId="0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0" fillId="0" borderId="28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7" borderId="42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left" vertical="center"/>
    </xf>
    <xf numFmtId="0" fontId="11" fillId="7" borderId="39" xfId="0" applyFont="1" applyFill="1" applyBorder="1" applyAlignment="1">
      <alignment horizontal="left" vertical="center"/>
    </xf>
    <xf numFmtId="0" fontId="11" fillId="7" borderId="44" xfId="0" applyFont="1" applyFill="1" applyBorder="1" applyAlignment="1">
      <alignment horizontal="left" vertical="center"/>
    </xf>
    <xf numFmtId="0" fontId="11" fillId="7" borderId="49" xfId="0" applyFont="1" applyFill="1" applyBorder="1" applyAlignment="1">
      <alignment horizontal="left" vertical="center"/>
    </xf>
    <xf numFmtId="0" fontId="0" fillId="0" borderId="5" xfId="0" applyBorder="1"/>
    <xf numFmtId="0" fontId="11" fillId="0" borderId="5" xfId="0" applyFont="1" applyBorder="1" applyAlignment="1">
      <alignment vertical="center"/>
    </xf>
    <xf numFmtId="0" fontId="11" fillId="7" borderId="53" xfId="0" applyFont="1" applyFill="1" applyBorder="1" applyAlignment="1">
      <alignment horizontal="center" vertical="center"/>
    </xf>
    <xf numFmtId="0" fontId="11" fillId="7" borderId="72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0" fontId="15" fillId="0" borderId="0" xfId="2" applyFont="1"/>
    <xf numFmtId="0" fontId="17" fillId="0" borderId="0" xfId="2" applyFont="1"/>
    <xf numFmtId="0" fontId="15" fillId="0" borderId="0" xfId="2" applyFont="1" applyAlignment="1">
      <alignment horizontal="center"/>
    </xf>
    <xf numFmtId="0" fontId="19" fillId="0" borderId="0" xfId="2" applyFont="1"/>
    <xf numFmtId="0" fontId="20" fillId="0" borderId="0" xfId="2" applyFont="1" applyAlignment="1">
      <alignment horizontal="center"/>
    </xf>
    <xf numFmtId="0" fontId="20" fillId="0" borderId="81" xfId="2" applyFont="1" applyBorder="1" applyAlignment="1">
      <alignment horizontal="left"/>
    </xf>
    <xf numFmtId="0" fontId="20" fillId="0" borderId="82" xfId="2" applyFont="1" applyBorder="1" applyAlignment="1">
      <alignment horizontal="left"/>
    </xf>
    <xf numFmtId="0" fontId="21" fillId="0" borderId="82" xfId="2" applyFont="1" applyBorder="1"/>
    <xf numFmtId="0" fontId="21" fillId="0" borderId="83" xfId="2" applyFont="1" applyBorder="1"/>
    <xf numFmtId="0" fontId="20" fillId="0" borderId="84" xfId="2" applyFont="1" applyBorder="1" applyAlignment="1">
      <alignment vertical="center"/>
    </xf>
    <xf numFmtId="0" fontId="20" fillId="0" borderId="86" xfId="2" applyFont="1" applyBorder="1" applyAlignment="1">
      <alignment horizontal="left"/>
    </xf>
    <xf numFmtId="0" fontId="20" fillId="0" borderId="87" xfId="2" applyFont="1" applyBorder="1" applyAlignment="1">
      <alignment horizontal="left"/>
    </xf>
    <xf numFmtId="0" fontId="21" fillId="0" borderId="87" xfId="2" applyFont="1" applyBorder="1"/>
    <xf numFmtId="0" fontId="21" fillId="0" borderId="88" xfId="2" applyFont="1" applyBorder="1"/>
    <xf numFmtId="0" fontId="20" fillId="0" borderId="89" xfId="2" applyFont="1" applyBorder="1" applyAlignment="1">
      <alignment vertical="center"/>
    </xf>
    <xf numFmtId="0" fontId="20" fillId="0" borderId="90" xfId="2" applyFont="1" applyBorder="1" applyAlignment="1">
      <alignment horizontal="left"/>
    </xf>
    <xf numFmtId="0" fontId="21" fillId="0" borderId="87" xfId="2" applyFont="1" applyBorder="1" applyAlignment="1">
      <alignment horizontal="left"/>
    </xf>
    <xf numFmtId="0" fontId="21" fillId="0" borderId="88" xfId="2" applyFont="1" applyBorder="1" applyAlignment="1">
      <alignment horizontal="left"/>
    </xf>
    <xf numFmtId="0" fontId="20" fillId="0" borderId="91" xfId="2" applyFont="1" applyBorder="1" applyAlignment="1">
      <alignment horizontal="left"/>
    </xf>
    <xf numFmtId="0" fontId="20" fillId="0" borderId="23" xfId="2" applyFont="1" applyBorder="1" applyAlignment="1">
      <alignment horizontal="left"/>
    </xf>
    <xf numFmtId="0" fontId="20" fillId="0" borderId="92" xfId="2" applyFont="1" applyBorder="1" applyAlignment="1">
      <alignment horizontal="left"/>
    </xf>
    <xf numFmtId="0" fontId="20" fillId="0" borderId="93" xfId="2" applyFont="1" applyBorder="1" applyAlignment="1">
      <alignment horizontal="left"/>
    </xf>
    <xf numFmtId="0" fontId="20" fillId="0" borderId="95" xfId="2" applyFont="1" applyBorder="1" applyAlignment="1">
      <alignment vertical="center"/>
    </xf>
    <xf numFmtId="0" fontId="22" fillId="0" borderId="0" xfId="2" applyFont="1"/>
    <xf numFmtId="0" fontId="20" fillId="0" borderId="0" xfId="2" applyFont="1"/>
    <xf numFmtId="0" fontId="15" fillId="0" borderId="0" xfId="2" applyFont="1" applyAlignment="1">
      <alignment horizontal="left" wrapText="1"/>
    </xf>
    <xf numFmtId="0" fontId="20" fillId="0" borderId="0" xfId="3" applyFont="1"/>
    <xf numFmtId="0" fontId="3" fillId="11" borderId="97" xfId="2" applyFont="1" applyFill="1" applyBorder="1" applyAlignment="1">
      <alignment horizontal="center" vertical="center" wrapText="1"/>
    </xf>
    <xf numFmtId="0" fontId="20" fillId="12" borderId="108" xfId="2" applyFont="1" applyFill="1" applyBorder="1" applyAlignment="1">
      <alignment horizontal="center" vertical="center" wrapText="1"/>
    </xf>
    <xf numFmtId="0" fontId="20" fillId="12" borderId="113" xfId="2" applyFont="1" applyFill="1" applyBorder="1" applyAlignment="1">
      <alignment vertical="center" wrapText="1"/>
    </xf>
    <xf numFmtId="0" fontId="20" fillId="12" borderId="113" xfId="2" applyFont="1" applyFill="1" applyBorder="1" applyAlignment="1">
      <alignment horizontal="center" vertical="center" wrapText="1"/>
    </xf>
    <xf numFmtId="0" fontId="20" fillId="12" borderId="114" xfId="2" applyFont="1" applyFill="1" applyBorder="1" applyAlignment="1">
      <alignment horizontal="center" vertical="center" wrapText="1"/>
    </xf>
    <xf numFmtId="0" fontId="20" fillId="12" borderId="100" xfId="2" applyFont="1" applyFill="1" applyBorder="1" applyAlignment="1">
      <alignment horizontal="center" vertical="center" wrapText="1"/>
    </xf>
    <xf numFmtId="0" fontId="20" fillId="12" borderId="101" xfId="2" applyFont="1" applyFill="1" applyBorder="1" applyAlignment="1">
      <alignment vertical="center" wrapText="1"/>
    </xf>
    <xf numFmtId="0" fontId="20" fillId="12" borderId="101" xfId="2" applyFont="1" applyFill="1" applyBorder="1" applyAlignment="1">
      <alignment horizontal="center" vertical="center" wrapText="1"/>
    </xf>
    <xf numFmtId="0" fontId="20" fillId="12" borderId="102" xfId="2" applyFont="1" applyFill="1" applyBorder="1" applyAlignment="1">
      <alignment horizontal="center" vertical="center" wrapText="1"/>
    </xf>
    <xf numFmtId="0" fontId="20" fillId="12" borderId="101" xfId="2" applyFont="1" applyFill="1" applyBorder="1" applyAlignment="1">
      <alignment vertical="top" wrapText="1"/>
    </xf>
    <xf numFmtId="0" fontId="20" fillId="12" borderId="103" xfId="2" applyFont="1" applyFill="1" applyBorder="1" applyAlignment="1">
      <alignment horizontal="center" vertical="center" wrapText="1"/>
    </xf>
    <xf numFmtId="0" fontId="20" fillId="12" borderId="104" xfId="2" applyFont="1" applyFill="1" applyBorder="1" applyAlignment="1">
      <alignment vertical="top" wrapText="1"/>
    </xf>
    <xf numFmtId="0" fontId="20" fillId="12" borderId="104" xfId="2" applyFont="1" applyFill="1" applyBorder="1" applyAlignment="1">
      <alignment horizontal="center" vertical="center" wrapText="1"/>
    </xf>
    <xf numFmtId="0" fontId="20" fillId="12" borderId="105" xfId="2" applyFont="1" applyFill="1" applyBorder="1" applyAlignment="1">
      <alignment horizontal="center" vertical="center" wrapText="1"/>
    </xf>
    <xf numFmtId="0" fontId="20" fillId="0" borderId="73" xfId="2" applyFont="1" applyBorder="1"/>
    <xf numFmtId="0" fontId="22" fillId="0" borderId="74" xfId="2" applyFont="1" applyBorder="1" applyAlignment="1">
      <alignment vertical="center"/>
    </xf>
    <xf numFmtId="0" fontId="20" fillId="0" borderId="74" xfId="2" applyFont="1" applyBorder="1" applyAlignment="1">
      <alignment vertical="center"/>
    </xf>
    <xf numFmtId="0" fontId="22" fillId="0" borderId="75" xfId="2" applyFont="1" applyBorder="1" applyAlignment="1">
      <alignment vertical="center"/>
    </xf>
    <xf numFmtId="0" fontId="20" fillId="0" borderId="76" xfId="2" applyFont="1" applyBorder="1"/>
    <xf numFmtId="0" fontId="22" fillId="0" borderId="0" xfId="2" applyFont="1" applyAlignment="1">
      <alignment horizontal="left" vertical="center"/>
    </xf>
    <xf numFmtId="0" fontId="20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22" fillId="0" borderId="77" xfId="2" applyFont="1" applyBorder="1" applyAlignment="1">
      <alignment vertical="center"/>
    </xf>
    <xf numFmtId="0" fontId="20" fillId="0" borderId="78" xfId="2" applyFont="1" applyBorder="1"/>
    <xf numFmtId="0" fontId="22" fillId="0" borderId="79" xfId="2" applyFont="1" applyBorder="1" applyAlignment="1">
      <alignment horizontal="left" vertical="center"/>
    </xf>
    <xf numFmtId="0" fontId="20" fillId="0" borderId="79" xfId="2" applyFont="1" applyBorder="1" applyAlignment="1">
      <alignment vertical="center"/>
    </xf>
    <xf numFmtId="0" fontId="22" fillId="0" borderId="79" xfId="2" applyFont="1" applyBorder="1" applyAlignment="1">
      <alignment vertical="center"/>
    </xf>
    <xf numFmtId="0" fontId="22" fillId="0" borderId="80" xfId="2" applyFont="1" applyBorder="1" applyAlignment="1">
      <alignment vertical="center"/>
    </xf>
    <xf numFmtId="0" fontId="20" fillId="0" borderId="1" xfId="2" applyFont="1" applyBorder="1" applyAlignment="1">
      <alignment horizontal="left"/>
    </xf>
    <xf numFmtId="0" fontId="20" fillId="0" borderId="2" xfId="2" applyFont="1" applyBorder="1"/>
    <xf numFmtId="0" fontId="20" fillId="0" borderId="3" xfId="2" applyFont="1" applyBorder="1" applyAlignment="1">
      <alignment horizontal="center"/>
    </xf>
    <xf numFmtId="0" fontId="20" fillId="0" borderId="1" xfId="2" applyFont="1" applyBorder="1"/>
    <xf numFmtId="0" fontId="20" fillId="0" borderId="3" xfId="2" applyFont="1" applyBorder="1"/>
    <xf numFmtId="0" fontId="20" fillId="0" borderId="5" xfId="2" applyFont="1" applyBorder="1" applyAlignment="1">
      <alignment horizontal="center"/>
    </xf>
    <xf numFmtId="0" fontId="20" fillId="0" borderId="4" xfId="2" applyFont="1" applyBorder="1"/>
    <xf numFmtId="0" fontId="20" fillId="0" borderId="0" xfId="2" applyFont="1" applyAlignment="1">
      <alignment horizontal="left"/>
    </xf>
    <xf numFmtId="0" fontId="20" fillId="0" borderId="5" xfId="2" applyFont="1" applyBorder="1"/>
    <xf numFmtId="0" fontId="20" fillId="0" borderId="4" xfId="2" applyFont="1" applyBorder="1" applyAlignment="1">
      <alignment horizontal="center" vertical="center"/>
    </xf>
    <xf numFmtId="0" fontId="20" fillId="0" borderId="0" xfId="3" applyFont="1" applyAlignment="1">
      <alignment vertical="center"/>
    </xf>
    <xf numFmtId="0" fontId="20" fillId="0" borderId="4" xfId="2" applyFont="1" applyBorder="1" applyAlignment="1">
      <alignment horizontal="center"/>
    </xf>
    <xf numFmtId="0" fontId="20" fillId="0" borderId="6" xfId="2" applyFont="1" applyBorder="1" applyAlignment="1">
      <alignment horizontal="left"/>
    </xf>
    <xf numFmtId="0" fontId="20" fillId="0" borderId="7" xfId="2" applyFont="1" applyBorder="1"/>
    <xf numFmtId="0" fontId="20" fillId="0" borderId="8" xfId="2" applyFont="1" applyBorder="1"/>
    <xf numFmtId="0" fontId="20" fillId="0" borderId="6" xfId="2" applyFont="1" applyBorder="1"/>
    <xf numFmtId="0" fontId="20" fillId="0" borderId="115" xfId="2" applyFont="1" applyBorder="1"/>
    <xf numFmtId="0" fontId="20" fillId="0" borderId="116" xfId="2" applyFont="1" applyBorder="1" applyAlignment="1">
      <alignment horizontal="center"/>
    </xf>
    <xf numFmtId="0" fontId="23" fillId="0" borderId="116" xfId="2" applyFont="1" applyBorder="1" applyAlignment="1">
      <alignment horizontal="left"/>
    </xf>
    <xf numFmtId="0" fontId="20" fillId="0" borderId="116" xfId="2" applyFont="1" applyBorder="1"/>
    <xf numFmtId="0" fontId="20" fillId="0" borderId="117" xfId="2" applyFont="1" applyBorder="1" applyAlignment="1">
      <alignment horizontal="center"/>
    </xf>
    <xf numFmtId="0" fontId="20" fillId="0" borderId="118" xfId="2" applyFont="1" applyBorder="1" applyAlignment="1">
      <alignment horizontal="left"/>
    </xf>
    <xf numFmtId="0" fontId="20" fillId="0" borderId="87" xfId="2" applyFont="1" applyBorder="1" applyAlignment="1">
      <alignment horizontal="center"/>
    </xf>
    <xf numFmtId="0" fontId="23" fillId="0" borderId="87" xfId="2" applyFont="1" applyBorder="1" applyAlignment="1">
      <alignment horizontal="left"/>
    </xf>
    <xf numFmtId="0" fontId="20" fillId="0" borderId="87" xfId="2" applyFont="1" applyBorder="1"/>
    <xf numFmtId="0" fontId="20" fillId="0" borderId="119" xfId="2" applyFont="1" applyBorder="1" applyAlignment="1">
      <alignment horizontal="center"/>
    </xf>
    <xf numFmtId="0" fontId="20" fillId="0" borderId="120" xfId="2" applyFont="1" applyBorder="1" applyAlignment="1">
      <alignment horizontal="left"/>
    </xf>
    <xf numFmtId="0" fontId="20" fillId="0" borderId="121" xfId="2" applyFont="1" applyBorder="1" applyAlignment="1">
      <alignment horizontal="center"/>
    </xf>
    <xf numFmtId="0" fontId="23" fillId="0" borderId="121" xfId="2" applyFont="1" applyBorder="1" applyAlignment="1">
      <alignment horizontal="left"/>
    </xf>
    <xf numFmtId="0" fontId="20" fillId="0" borderId="121" xfId="2" applyFont="1" applyBorder="1"/>
    <xf numFmtId="0" fontId="20" fillId="0" borderId="122" xfId="2" applyFont="1" applyBorder="1" applyAlignment="1">
      <alignment horizontal="center"/>
    </xf>
    <xf numFmtId="0" fontId="12" fillId="0" borderId="0" xfId="0" applyFont="1" applyAlignment="1">
      <alignment horizontal="center" vertical="top"/>
    </xf>
    <xf numFmtId="0" fontId="25" fillId="0" borderId="0" xfId="4" applyFont="1"/>
    <xf numFmtId="0" fontId="24" fillId="0" borderId="0" xfId="4"/>
    <xf numFmtId="0" fontId="25" fillId="0" borderId="123" xfId="4" applyFont="1" applyBorder="1"/>
    <xf numFmtId="0" fontId="25" fillId="0" borderId="124" xfId="4" applyFont="1" applyBorder="1"/>
    <xf numFmtId="0" fontId="26" fillId="0" borderId="124" xfId="4" applyFont="1" applyBorder="1" applyAlignment="1">
      <alignment vertical="center"/>
    </xf>
    <xf numFmtId="0" fontId="25" fillId="0" borderId="124" xfId="4" applyFont="1" applyBorder="1" applyAlignment="1">
      <alignment vertical="center"/>
    </xf>
    <xf numFmtId="0" fontId="26" fillId="0" borderId="125" xfId="4" applyFont="1" applyBorder="1" applyAlignment="1">
      <alignment vertical="center"/>
    </xf>
    <xf numFmtId="0" fontId="25" fillId="0" borderId="125" xfId="4" applyFont="1" applyBorder="1"/>
    <xf numFmtId="0" fontId="25" fillId="0" borderId="126" xfId="4" applyFont="1" applyBorder="1"/>
    <xf numFmtId="0" fontId="26" fillId="0" borderId="0" xfId="4" applyFont="1" applyAlignment="1">
      <alignment horizontal="left" vertical="center"/>
    </xf>
    <xf numFmtId="0" fontId="26" fillId="0" borderId="0" xfId="4" applyFont="1" applyAlignment="1">
      <alignment vertical="center"/>
    </xf>
    <xf numFmtId="0" fontId="25" fillId="0" borderId="127" xfId="4" applyFont="1" applyBorder="1"/>
    <xf numFmtId="0" fontId="25" fillId="0" borderId="128" xfId="4" applyFont="1" applyBorder="1"/>
    <xf numFmtId="0" fontId="25" fillId="0" borderId="129" xfId="4" applyFont="1" applyBorder="1"/>
    <xf numFmtId="0" fontId="26" fillId="0" borderId="129" xfId="4" applyFont="1" applyBorder="1" applyAlignment="1">
      <alignment horizontal="left" vertical="center"/>
    </xf>
    <xf numFmtId="0" fontId="26" fillId="0" borderId="129" xfId="4" applyFont="1" applyBorder="1" applyAlignment="1">
      <alignment vertical="center"/>
    </xf>
    <xf numFmtId="0" fontId="25" fillId="0" borderId="130" xfId="4" applyFont="1" applyBorder="1"/>
    <xf numFmtId="0" fontId="27" fillId="0" borderId="0" xfId="4" applyFont="1"/>
    <xf numFmtId="0" fontId="28" fillId="0" borderId="131" xfId="4" applyFont="1" applyBorder="1"/>
    <xf numFmtId="0" fontId="28" fillId="0" borderId="132" xfId="4" applyFont="1" applyBorder="1"/>
    <xf numFmtId="0" fontId="24" fillId="0" borderId="132" xfId="4" applyBorder="1"/>
    <xf numFmtId="0" fontId="24" fillId="0" borderId="133" xfId="4" applyBorder="1"/>
    <xf numFmtId="0" fontId="27" fillId="0" borderId="134" xfId="4" applyFont="1" applyBorder="1"/>
    <xf numFmtId="0" fontId="27" fillId="0" borderId="135" xfId="4" applyFont="1" applyBorder="1"/>
    <xf numFmtId="0" fontId="25" fillId="0" borderId="136" xfId="4" applyFont="1" applyBorder="1" applyAlignment="1">
      <alignment horizontal="left"/>
    </xf>
    <xf numFmtId="0" fontId="27" fillId="0" borderId="137" xfId="4" applyFont="1" applyBorder="1"/>
    <xf numFmtId="0" fontId="27" fillId="0" borderId="138" xfId="4" applyFont="1" applyBorder="1"/>
    <xf numFmtId="0" fontId="27" fillId="0" borderId="137" xfId="4" applyFont="1" applyBorder="1" applyAlignment="1">
      <alignment vertical="center"/>
    </xf>
    <xf numFmtId="49" fontId="27" fillId="0" borderId="137" xfId="4" applyNumberFormat="1" applyFont="1" applyBorder="1"/>
    <xf numFmtId="0" fontId="27" fillId="0" borderId="136" xfId="4" applyFont="1" applyBorder="1"/>
    <xf numFmtId="0" fontId="27" fillId="0" borderId="133" xfId="4" applyFont="1" applyBorder="1"/>
    <xf numFmtId="0" fontId="30" fillId="0" borderId="134" xfId="4" applyFont="1" applyBorder="1" applyAlignment="1">
      <alignment horizontal="center"/>
    </xf>
    <xf numFmtId="0" fontId="30" fillId="0" borderId="0" xfId="4" applyFont="1"/>
    <xf numFmtId="0" fontId="31" fillId="0" borderId="0" xfId="4" applyFont="1"/>
    <xf numFmtId="0" fontId="26" fillId="0" borderId="134" xfId="4" applyFont="1" applyBorder="1"/>
    <xf numFmtId="0" fontId="26" fillId="0" borderId="0" xfId="4" applyFont="1"/>
    <xf numFmtId="0" fontId="26" fillId="0" borderId="135" xfId="4" applyFont="1" applyBorder="1"/>
    <xf numFmtId="0" fontId="30" fillId="0" borderId="135" xfId="4" applyFont="1" applyBorder="1"/>
    <xf numFmtId="0" fontId="27" fillId="0" borderId="0" xfId="4" applyFont="1" applyAlignment="1">
      <alignment horizontal="left"/>
    </xf>
    <xf numFmtId="0" fontId="30" fillId="0" borderId="134" xfId="4" applyFont="1" applyBorder="1"/>
    <xf numFmtId="0" fontId="30" fillId="0" borderId="0" xfId="4" applyFont="1" applyAlignment="1">
      <alignment horizontal="left"/>
    </xf>
    <xf numFmtId="0" fontId="27" fillId="0" borderId="0" xfId="4" applyFont="1" applyAlignment="1">
      <alignment horizontal="center" vertical="center"/>
    </xf>
    <xf numFmtId="0" fontId="27" fillId="13" borderId="0" xfId="4" applyFont="1" applyFill="1" applyAlignment="1">
      <alignment horizontal="center" vertical="center" wrapText="1"/>
    </xf>
    <xf numFmtId="0" fontId="27" fillId="13" borderId="0" xfId="4" applyFont="1" applyFill="1" applyAlignment="1">
      <alignment horizontal="center" vertical="center"/>
    </xf>
    <xf numFmtId="0" fontId="27" fillId="0" borderId="142" xfId="4" applyFont="1" applyBorder="1"/>
    <xf numFmtId="0" fontId="27" fillId="0" borderId="139" xfId="4" applyFont="1" applyBorder="1"/>
    <xf numFmtId="0" fontId="27" fillId="0" borderId="141" xfId="4" applyFont="1" applyBorder="1"/>
    <xf numFmtId="0" fontId="32" fillId="0" borderId="140" xfId="4" applyFont="1" applyBorder="1" applyAlignment="1">
      <alignment horizontal="right"/>
    </xf>
    <xf numFmtId="0" fontId="27" fillId="0" borderId="131" xfId="4" applyFont="1" applyBorder="1"/>
    <xf numFmtId="0" fontId="27" fillId="0" borderId="132" xfId="4" applyFont="1" applyBorder="1"/>
    <xf numFmtId="0" fontId="30" fillId="0" borderId="132" xfId="4" applyFont="1" applyBorder="1"/>
    <xf numFmtId="0" fontId="27" fillId="0" borderId="0" xfId="4" applyFont="1" applyAlignment="1">
      <alignment vertical="center"/>
    </xf>
    <xf numFmtId="0" fontId="27" fillId="0" borderId="140" xfId="4" applyFont="1" applyBorder="1"/>
    <xf numFmtId="0" fontId="0" fillId="9" borderId="41" xfId="0" applyFill="1" applyBorder="1" applyAlignment="1" applyProtection="1">
      <alignment horizontal="center" vertical="center"/>
      <protection locked="0"/>
    </xf>
    <xf numFmtId="0" fontId="0" fillId="9" borderId="36" xfId="0" applyFill="1" applyBorder="1" applyAlignment="1" applyProtection="1">
      <alignment horizontal="center" vertical="center"/>
      <protection locked="0"/>
    </xf>
    <xf numFmtId="0" fontId="0" fillId="9" borderId="46" xfId="0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0" fontId="2" fillId="5" borderId="12" xfId="0" applyFont="1" applyFill="1" applyBorder="1" applyAlignment="1" applyProtection="1">
      <alignment horizontal="center" vertical="center"/>
      <protection locked="0"/>
    </xf>
    <xf numFmtId="0" fontId="2" fillId="5" borderId="15" xfId="0" applyFont="1" applyFill="1" applyBorder="1" applyAlignment="1" applyProtection="1">
      <alignment horizontal="center" vertical="center"/>
      <protection locked="0"/>
    </xf>
    <xf numFmtId="0" fontId="2" fillId="5" borderId="16" xfId="0" applyFont="1" applyFill="1" applyBorder="1" applyAlignment="1" applyProtection="1">
      <alignment horizontal="center" vertical="center"/>
      <protection locked="0"/>
    </xf>
    <xf numFmtId="0" fontId="2" fillId="5" borderId="17" xfId="0" applyFont="1" applyFill="1" applyBorder="1" applyAlignment="1" applyProtection="1">
      <alignment horizontal="center" vertical="center"/>
      <protection locked="0"/>
    </xf>
    <xf numFmtId="0" fontId="2" fillId="5" borderId="18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2" fillId="5" borderId="19" xfId="0" applyFont="1" applyFill="1" applyBorder="1" applyAlignment="1" applyProtection="1">
      <alignment horizontal="center" vertical="center"/>
      <protection locked="0"/>
    </xf>
    <xf numFmtId="0" fontId="2" fillId="5" borderId="20" xfId="0" applyFont="1" applyFill="1" applyBorder="1" applyAlignment="1" applyProtection="1">
      <alignment horizontal="center" vertical="center"/>
      <protection locked="0"/>
    </xf>
    <xf numFmtId="0" fontId="2" fillId="5" borderId="21" xfId="0" applyFont="1" applyFill="1" applyBorder="1" applyAlignment="1" applyProtection="1">
      <alignment horizontal="center" vertical="center"/>
      <protection locked="0"/>
    </xf>
    <xf numFmtId="0" fontId="2" fillId="5" borderId="13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15" fontId="2" fillId="5" borderId="9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28" xfId="0" applyFont="1" applyBorder="1" applyAlignment="1" applyProtection="1">
      <alignment horizontal="center" vertical="center"/>
      <protection locked="0"/>
    </xf>
    <xf numFmtId="0" fontId="9" fillId="6" borderId="30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9" borderId="36" xfId="0" applyFill="1" applyBorder="1" applyAlignment="1" applyProtection="1">
      <alignment horizontal="center" vertical="center" wrapText="1"/>
      <protection locked="0"/>
    </xf>
    <xf numFmtId="9" fontId="0" fillId="3" borderId="36" xfId="1" applyFont="1" applyFill="1" applyBorder="1" applyAlignment="1">
      <alignment horizontal="center" vertical="center"/>
    </xf>
    <xf numFmtId="0" fontId="0" fillId="9" borderId="38" xfId="0" applyFill="1" applyBorder="1" applyAlignment="1" applyProtection="1">
      <alignment horizontal="center" vertical="center" wrapText="1"/>
      <protection locked="0"/>
    </xf>
    <xf numFmtId="0" fontId="0" fillId="9" borderId="39" xfId="0" applyFill="1" applyBorder="1" applyAlignment="1" applyProtection="1">
      <alignment horizontal="center" vertical="center" wrapText="1"/>
      <protection locked="0"/>
    </xf>
    <xf numFmtId="0" fontId="0" fillId="9" borderId="43" xfId="0" applyFill="1" applyBorder="1" applyAlignment="1" applyProtection="1">
      <alignment horizontal="center" vertical="center" wrapText="1"/>
      <protection locked="0"/>
    </xf>
    <xf numFmtId="0" fontId="0" fillId="9" borderId="41" xfId="0" applyFill="1" applyBorder="1" applyAlignment="1" applyProtection="1">
      <alignment horizontal="center" vertical="center" wrapText="1"/>
      <protection locked="0"/>
    </xf>
    <xf numFmtId="0" fontId="0" fillId="9" borderId="44" xfId="0" applyFill="1" applyBorder="1" applyAlignment="1" applyProtection="1">
      <alignment horizontal="center" vertical="center" wrapText="1"/>
      <protection locked="0"/>
    </xf>
    <xf numFmtId="0" fontId="0" fillId="8" borderId="40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9" fontId="0" fillId="3" borderId="41" xfId="1" applyFont="1" applyFill="1" applyBorder="1" applyAlignment="1">
      <alignment horizontal="center" vertical="center"/>
    </xf>
    <xf numFmtId="0" fontId="0" fillId="9" borderId="48" xfId="0" applyFill="1" applyBorder="1" applyAlignment="1" applyProtection="1">
      <alignment horizontal="center" vertical="center" wrapText="1"/>
      <protection locked="0"/>
    </xf>
    <xf numFmtId="0" fontId="0" fillId="9" borderId="46" xfId="0" applyFill="1" applyBorder="1" applyAlignment="1" applyProtection="1">
      <alignment horizontal="center" vertical="center" wrapText="1"/>
      <protection locked="0"/>
    </xf>
    <xf numFmtId="0" fontId="0" fillId="9" borderId="49" xfId="0" applyFill="1" applyBorder="1" applyAlignment="1" applyProtection="1">
      <alignment horizontal="center" vertical="center" wrapText="1"/>
      <protection locked="0"/>
    </xf>
    <xf numFmtId="0" fontId="9" fillId="2" borderId="42" xfId="0" applyFont="1" applyFill="1" applyBorder="1" applyAlignment="1">
      <alignment horizontal="center" vertical="center"/>
    </xf>
    <xf numFmtId="0" fontId="9" fillId="2" borderId="50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8" borderId="45" xfId="0" applyFill="1" applyBorder="1" applyAlignment="1">
      <alignment horizontal="center" vertical="center"/>
    </xf>
    <xf numFmtId="0" fontId="0" fillId="8" borderId="46" xfId="0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9" fontId="0" fillId="3" borderId="46" xfId="1" applyFont="1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 wrapText="1"/>
    </xf>
    <xf numFmtId="0" fontId="9" fillId="6" borderId="52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0" fillId="9" borderId="57" xfId="0" applyFill="1" applyBorder="1" applyAlignment="1" applyProtection="1">
      <alignment horizontal="center" vertical="center" wrapText="1"/>
      <protection locked="0"/>
    </xf>
    <xf numFmtId="0" fontId="0" fillId="9" borderId="58" xfId="0" applyFill="1" applyBorder="1" applyAlignment="1" applyProtection="1">
      <alignment horizontal="center" vertical="center"/>
      <protection locked="0"/>
    </xf>
    <xf numFmtId="0" fontId="0" fillId="9" borderId="59" xfId="0" applyFill="1" applyBorder="1" applyAlignment="1" applyProtection="1">
      <alignment horizontal="center" vertical="center"/>
      <protection locked="0"/>
    </xf>
    <xf numFmtId="0" fontId="0" fillId="9" borderId="60" xfId="0" applyFill="1" applyBorder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0" fillId="9" borderId="61" xfId="0" applyFill="1" applyBorder="1" applyAlignment="1" applyProtection="1">
      <alignment horizontal="center" vertical="center"/>
      <protection locked="0"/>
    </xf>
    <xf numFmtId="0" fontId="0" fillId="9" borderId="62" xfId="0" applyFill="1" applyBorder="1" applyAlignment="1" applyProtection="1">
      <alignment horizontal="center" vertical="center"/>
      <protection locked="0"/>
    </xf>
    <xf numFmtId="0" fontId="0" fillId="9" borderId="63" xfId="0" applyFill="1" applyBorder="1" applyAlignment="1" applyProtection="1">
      <alignment horizontal="center" vertical="center"/>
      <protection locked="0"/>
    </xf>
    <xf numFmtId="0" fontId="0" fillId="9" borderId="64" xfId="0" applyFill="1" applyBorder="1" applyAlignment="1" applyProtection="1">
      <alignment horizontal="center" vertical="center"/>
      <protection locked="0"/>
    </xf>
    <xf numFmtId="0" fontId="0" fillId="3" borderId="41" xfId="0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0" fillId="8" borderId="53" xfId="0" applyFill="1" applyBorder="1" applyAlignment="1">
      <alignment horizontal="center" vertical="center" wrapText="1"/>
    </xf>
    <xf numFmtId="0" fontId="0" fillId="8" borderId="54" xfId="0" applyFill="1" applyBorder="1" applyAlignment="1">
      <alignment horizontal="center" vertical="center" wrapText="1"/>
    </xf>
    <xf numFmtId="0" fontId="0" fillId="8" borderId="38" xfId="0" applyFill="1" applyBorder="1" applyAlignment="1">
      <alignment horizontal="center" vertical="center" wrapText="1"/>
    </xf>
    <xf numFmtId="0" fontId="0" fillId="9" borderId="38" xfId="0" applyFill="1" applyBorder="1" applyAlignment="1" applyProtection="1">
      <alignment horizontal="center" vertical="center"/>
      <protection locked="0"/>
    </xf>
    <xf numFmtId="0" fontId="0" fillId="9" borderId="36" xfId="0" applyFill="1" applyBorder="1" applyAlignment="1" applyProtection="1">
      <alignment horizontal="center" vertical="center"/>
      <protection locked="0"/>
    </xf>
    <xf numFmtId="0" fontId="0" fillId="9" borderId="39" xfId="0" applyFill="1" applyBorder="1" applyAlignment="1" applyProtection="1">
      <alignment horizontal="center" vertical="center"/>
      <protection locked="0"/>
    </xf>
    <xf numFmtId="0" fontId="0" fillId="8" borderId="55" xfId="0" applyFill="1" applyBorder="1" applyAlignment="1">
      <alignment horizontal="center" vertical="center" wrapText="1"/>
    </xf>
    <xf numFmtId="0" fontId="0" fillId="8" borderId="56" xfId="0" applyFill="1" applyBorder="1" applyAlignment="1">
      <alignment horizontal="center" vertical="center" wrapText="1"/>
    </xf>
    <xf numFmtId="0" fontId="0" fillId="8" borderId="48" xfId="0" applyFill="1" applyBorder="1" applyAlignment="1">
      <alignment horizontal="center" vertical="center" wrapText="1"/>
    </xf>
    <xf numFmtId="0" fontId="0" fillId="9" borderId="48" xfId="0" applyFill="1" applyBorder="1" applyAlignment="1" applyProtection="1">
      <alignment horizontal="center" vertical="center"/>
      <protection locked="0"/>
    </xf>
    <xf numFmtId="0" fontId="0" fillId="9" borderId="46" xfId="0" applyFill="1" applyBorder="1" applyAlignment="1" applyProtection="1">
      <alignment horizontal="center" vertical="center"/>
      <protection locked="0"/>
    </xf>
    <xf numFmtId="0" fontId="0" fillId="9" borderId="49" xfId="0" applyFill="1" applyBorder="1" applyAlignment="1" applyProtection="1">
      <alignment horizontal="center" vertical="center"/>
      <protection locked="0"/>
    </xf>
    <xf numFmtId="0" fontId="0" fillId="9" borderId="41" xfId="0" applyFill="1" applyBorder="1" applyAlignment="1" applyProtection="1">
      <alignment horizontal="center" vertical="center"/>
      <protection locked="0"/>
    </xf>
    <xf numFmtId="0" fontId="0" fillId="9" borderId="42" xfId="0" applyFill="1" applyBorder="1" applyAlignment="1" applyProtection="1">
      <alignment horizontal="center" vertical="center"/>
      <protection locked="0"/>
    </xf>
    <xf numFmtId="0" fontId="0" fillId="9" borderId="50" xfId="0" applyFill="1" applyBorder="1" applyAlignment="1" applyProtection="1">
      <alignment horizontal="center" vertical="center"/>
      <protection locked="0"/>
    </xf>
    <xf numFmtId="0" fontId="0" fillId="9" borderId="43" xfId="0" applyFill="1" applyBorder="1" applyAlignment="1" applyProtection="1">
      <alignment horizontal="center" vertical="center"/>
      <protection locked="0"/>
    </xf>
    <xf numFmtId="0" fontId="9" fillId="7" borderId="42" xfId="0" applyFont="1" applyFill="1" applyBorder="1" applyAlignment="1">
      <alignment horizontal="center" vertical="center"/>
    </xf>
    <xf numFmtId="0" fontId="9" fillId="7" borderId="50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65" xfId="0" applyFont="1" applyFill="1" applyBorder="1" applyAlignment="1">
      <alignment horizontal="center" vertical="center"/>
    </xf>
    <xf numFmtId="0" fontId="20" fillId="0" borderId="87" xfId="2" applyFont="1" applyBorder="1" applyAlignment="1">
      <alignment horizontal="left"/>
    </xf>
    <xf numFmtId="0" fontId="20" fillId="0" borderId="90" xfId="2" applyFont="1" applyBorder="1" applyAlignment="1">
      <alignment horizontal="left"/>
    </xf>
    <xf numFmtId="0" fontId="18" fillId="0" borderId="0" xfId="2" applyFont="1" applyAlignment="1">
      <alignment horizontal="left"/>
    </xf>
    <xf numFmtId="0" fontId="20" fillId="0" borderId="82" xfId="2" applyFont="1" applyBorder="1" applyAlignment="1">
      <alignment horizontal="left"/>
    </xf>
    <xf numFmtId="0" fontId="20" fillId="0" borderId="85" xfId="2" applyFont="1" applyBorder="1" applyAlignment="1">
      <alignment horizontal="left"/>
    </xf>
    <xf numFmtId="0" fontId="21" fillId="0" borderId="93" xfId="2" applyFont="1" applyBorder="1" applyAlignment="1">
      <alignment horizontal="left"/>
    </xf>
    <xf numFmtId="0" fontId="21" fillId="0" borderId="94" xfId="2" applyFont="1" applyBorder="1" applyAlignment="1">
      <alignment horizontal="left"/>
    </xf>
    <xf numFmtId="0" fontId="20" fillId="0" borderId="93" xfId="2" applyFont="1" applyBorder="1" applyAlignment="1">
      <alignment horizontal="left"/>
    </xf>
    <xf numFmtId="0" fontId="20" fillId="0" borderId="96" xfId="2" applyFont="1" applyBorder="1" applyAlignment="1">
      <alignment horizontal="left"/>
    </xf>
    <xf numFmtId="0" fontId="3" fillId="11" borderId="98" xfId="2" applyFont="1" applyFill="1" applyBorder="1" applyAlignment="1">
      <alignment horizontal="center" vertical="center" wrapText="1"/>
    </xf>
    <xf numFmtId="0" fontId="3" fillId="11" borderId="99" xfId="2" applyFont="1" applyFill="1" applyBorder="1" applyAlignment="1">
      <alignment horizontal="center" vertical="center" wrapText="1"/>
    </xf>
    <xf numFmtId="0" fontId="16" fillId="10" borderId="0" xfId="2" applyFont="1" applyFill="1" applyAlignment="1">
      <alignment horizontal="center" vertical="center" wrapText="1"/>
    </xf>
    <xf numFmtId="0" fontId="20" fillId="12" borderId="100" xfId="2" applyFont="1" applyFill="1" applyBorder="1" applyAlignment="1">
      <alignment horizontal="center" vertical="center" wrapText="1"/>
    </xf>
    <xf numFmtId="0" fontId="20" fillId="12" borderId="101" xfId="2" applyFont="1" applyFill="1" applyBorder="1" applyAlignment="1">
      <alignment horizontal="center" vertical="center" wrapText="1"/>
    </xf>
    <xf numFmtId="0" fontId="20" fillId="12" borderId="101" xfId="2" applyFont="1" applyFill="1" applyBorder="1" applyAlignment="1">
      <alignment horizontal="center" vertical="center"/>
    </xf>
    <xf numFmtId="164" fontId="20" fillId="12" borderId="101" xfId="2" applyNumberFormat="1" applyFont="1" applyFill="1" applyBorder="1" applyAlignment="1">
      <alignment horizontal="center" vertical="center"/>
    </xf>
    <xf numFmtId="164" fontId="20" fillId="12" borderId="102" xfId="2" applyNumberFormat="1" applyFont="1" applyFill="1" applyBorder="1" applyAlignment="1">
      <alignment horizontal="center" vertical="center"/>
    </xf>
    <xf numFmtId="0" fontId="20" fillId="12" borderId="103" xfId="2" applyFont="1" applyFill="1" applyBorder="1" applyAlignment="1">
      <alignment horizontal="center" vertical="center" wrapText="1"/>
    </xf>
    <xf numFmtId="0" fontId="20" fillId="12" borderId="104" xfId="2" applyFont="1" applyFill="1" applyBorder="1" applyAlignment="1">
      <alignment horizontal="center" vertical="center" wrapText="1"/>
    </xf>
    <xf numFmtId="0" fontId="20" fillId="12" borderId="104" xfId="2" applyFont="1" applyFill="1" applyBorder="1" applyAlignment="1">
      <alignment horizontal="center" vertical="center"/>
    </xf>
    <xf numFmtId="164" fontId="20" fillId="12" borderId="104" xfId="2" applyNumberFormat="1" applyFont="1" applyFill="1" applyBorder="1" applyAlignment="1">
      <alignment horizontal="center" vertical="center"/>
    </xf>
    <xf numFmtId="164" fontId="20" fillId="12" borderId="105" xfId="2" applyNumberFormat="1" applyFont="1" applyFill="1" applyBorder="1" applyAlignment="1">
      <alignment horizontal="center" vertical="center"/>
    </xf>
    <xf numFmtId="0" fontId="15" fillId="10" borderId="0" xfId="2" applyFont="1" applyFill="1" applyAlignment="1">
      <alignment horizontal="center"/>
    </xf>
    <xf numFmtId="0" fontId="20" fillId="12" borderId="106" xfId="2" applyFont="1" applyFill="1" applyBorder="1" applyAlignment="1">
      <alignment horizontal="center" vertical="center" wrapText="1"/>
    </xf>
    <xf numFmtId="0" fontId="20" fillId="12" borderId="108" xfId="2" applyFont="1" applyFill="1" applyBorder="1" applyAlignment="1">
      <alignment horizontal="center" vertical="center" wrapText="1"/>
    </xf>
    <xf numFmtId="0" fontId="20" fillId="12" borderId="22" xfId="2" applyFont="1" applyFill="1" applyBorder="1" applyAlignment="1">
      <alignment horizontal="center" vertical="center" wrapText="1"/>
    </xf>
    <xf numFmtId="0" fontId="20" fillId="12" borderId="24" xfId="2" applyFont="1" applyFill="1" applyBorder="1" applyAlignment="1">
      <alignment horizontal="center" vertical="center" wrapText="1"/>
    </xf>
    <xf numFmtId="0" fontId="20" fillId="12" borderId="27" xfId="2" applyFont="1" applyFill="1" applyBorder="1" applyAlignment="1">
      <alignment horizontal="center" vertical="center" wrapText="1"/>
    </xf>
    <xf numFmtId="0" fontId="20" fillId="12" borderId="29" xfId="2" applyFont="1" applyFill="1" applyBorder="1" applyAlignment="1">
      <alignment horizontal="center" vertical="center" wrapText="1"/>
    </xf>
    <xf numFmtId="0" fontId="20" fillId="12" borderId="22" xfId="2" applyFont="1" applyFill="1" applyBorder="1" applyAlignment="1">
      <alignment horizontal="center" vertical="center"/>
    </xf>
    <xf numFmtId="0" fontId="20" fillId="12" borderId="107" xfId="2" applyFont="1" applyFill="1" applyBorder="1" applyAlignment="1">
      <alignment horizontal="center" vertical="center"/>
    </xf>
    <xf numFmtId="0" fontId="20" fillId="12" borderId="27" xfId="2" applyFont="1" applyFill="1" applyBorder="1" applyAlignment="1">
      <alignment horizontal="center" vertical="center"/>
    </xf>
    <xf numFmtId="0" fontId="20" fillId="12" borderId="109" xfId="2" applyFont="1" applyFill="1" applyBorder="1" applyAlignment="1">
      <alignment horizontal="center" vertical="center"/>
    </xf>
    <xf numFmtId="0" fontId="3" fillId="11" borderId="84" xfId="2" applyFont="1" applyFill="1" applyBorder="1" applyAlignment="1">
      <alignment horizontal="center" vertical="center" wrapText="1"/>
    </xf>
    <xf numFmtId="0" fontId="3" fillId="11" borderId="83" xfId="2" applyFont="1" applyFill="1" applyBorder="1" applyAlignment="1">
      <alignment horizontal="center" vertical="center" wrapText="1"/>
    </xf>
    <xf numFmtId="0" fontId="3" fillId="11" borderId="85" xfId="2" applyFont="1" applyFill="1" applyBorder="1" applyAlignment="1">
      <alignment horizontal="center" vertical="center" wrapText="1"/>
    </xf>
    <xf numFmtId="0" fontId="3" fillId="11" borderId="97" xfId="2" applyFont="1" applyFill="1" applyBorder="1" applyAlignment="1">
      <alignment horizontal="center" vertical="center" wrapText="1"/>
    </xf>
    <xf numFmtId="0" fontId="3" fillId="11" borderId="103" xfId="2" applyFont="1" applyFill="1" applyBorder="1" applyAlignment="1">
      <alignment horizontal="center" vertical="center" wrapText="1"/>
    </xf>
    <xf numFmtId="0" fontId="3" fillId="11" borderId="104" xfId="2" applyFont="1" applyFill="1" applyBorder="1" applyAlignment="1">
      <alignment horizontal="center" vertical="center" wrapText="1"/>
    </xf>
    <xf numFmtId="0" fontId="20" fillId="12" borderId="110" xfId="2" applyFont="1" applyFill="1" applyBorder="1" applyAlignment="1">
      <alignment horizontal="center" vertical="center" wrapText="1"/>
    </xf>
    <xf numFmtId="0" fontId="20" fillId="12" borderId="111" xfId="2" applyFont="1" applyFill="1" applyBorder="1" applyAlignment="1">
      <alignment horizontal="center" vertical="center" wrapText="1"/>
    </xf>
    <xf numFmtId="0" fontId="20" fillId="12" borderId="112" xfId="2" applyFont="1" applyFill="1" applyBorder="1" applyAlignment="1">
      <alignment horizontal="center" vertical="center" wrapText="1"/>
    </xf>
    <xf numFmtId="0" fontId="20" fillId="12" borderId="111" xfId="2" applyFont="1" applyFill="1" applyBorder="1" applyAlignment="1">
      <alignment horizontal="center" vertical="center"/>
    </xf>
    <xf numFmtId="0" fontId="20" fillId="12" borderId="8" xfId="2" applyFont="1" applyFill="1" applyBorder="1" applyAlignment="1">
      <alignment horizontal="center" vertical="center"/>
    </xf>
    <xf numFmtId="0" fontId="3" fillId="11" borderId="99" xfId="2" applyFont="1" applyFill="1" applyBorder="1" applyAlignment="1">
      <alignment horizontal="center" vertical="center"/>
    </xf>
    <xf numFmtId="0" fontId="3" fillId="11" borderId="105" xfId="2" applyFont="1" applyFill="1" applyBorder="1" applyAlignment="1">
      <alignment horizontal="center" vertical="center"/>
    </xf>
    <xf numFmtId="0" fontId="20" fillId="12" borderId="113" xfId="2" applyFont="1" applyFill="1" applyBorder="1" applyAlignment="1">
      <alignment horizontal="center" vertical="center" wrapText="1"/>
    </xf>
    <xf numFmtId="0" fontId="20" fillId="0" borderId="4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20" fillId="0" borderId="5" xfId="2" applyFont="1" applyBorder="1" applyAlignment="1">
      <alignment horizontal="center"/>
    </xf>
    <xf numFmtId="0" fontId="22" fillId="0" borderId="4" xfId="2" applyFont="1" applyBorder="1" applyAlignment="1">
      <alignment horizontal="center"/>
    </xf>
    <xf numFmtId="0" fontId="22" fillId="0" borderId="0" xfId="2" applyFont="1" applyAlignment="1">
      <alignment horizontal="center"/>
    </xf>
    <xf numFmtId="0" fontId="22" fillId="0" borderId="4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5" xfId="2" applyFont="1" applyBorder="1" applyAlignment="1">
      <alignment horizontal="center" vertical="center"/>
    </xf>
    <xf numFmtId="164" fontId="20" fillId="12" borderId="22" xfId="2" applyNumberFormat="1" applyFont="1" applyFill="1" applyBorder="1" applyAlignment="1">
      <alignment horizontal="center" vertical="center"/>
    </xf>
    <xf numFmtId="164" fontId="20" fillId="12" borderId="107" xfId="2" applyNumberFormat="1" applyFont="1" applyFill="1" applyBorder="1" applyAlignment="1">
      <alignment horizontal="center" vertical="center"/>
    </xf>
    <xf numFmtId="164" fontId="20" fillId="12" borderId="27" xfId="2" applyNumberFormat="1" applyFont="1" applyFill="1" applyBorder="1" applyAlignment="1">
      <alignment horizontal="center" vertical="center"/>
    </xf>
    <xf numFmtId="164" fontId="20" fillId="12" borderId="109" xfId="2" applyNumberFormat="1" applyFont="1" applyFill="1" applyBorder="1" applyAlignment="1">
      <alignment horizontal="center" vertical="center"/>
    </xf>
    <xf numFmtId="164" fontId="20" fillId="12" borderId="111" xfId="2" applyNumberFormat="1" applyFont="1" applyFill="1" applyBorder="1" applyAlignment="1">
      <alignment horizontal="center" vertical="center"/>
    </xf>
    <xf numFmtId="164" fontId="20" fillId="12" borderId="8" xfId="2" applyNumberFormat="1" applyFont="1" applyFill="1" applyBorder="1" applyAlignment="1">
      <alignment horizontal="center" vertical="center"/>
    </xf>
    <xf numFmtId="0" fontId="22" fillId="0" borderId="5" xfId="2" applyFont="1" applyBorder="1" applyAlignment="1">
      <alignment horizontal="center"/>
    </xf>
    <xf numFmtId="0" fontId="0" fillId="0" borderId="28" xfId="0" applyBorder="1" applyAlignment="1" applyProtection="1">
      <alignment horizontal="center" vertical="center"/>
      <protection locked="0"/>
    </xf>
    <xf numFmtId="0" fontId="11" fillId="7" borderId="35" xfId="0" applyFont="1" applyFill="1" applyBorder="1" applyAlignment="1">
      <alignment horizontal="left" vertical="center"/>
    </xf>
    <xf numFmtId="0" fontId="11" fillId="7" borderId="36" xfId="0" applyFont="1" applyFill="1" applyBorder="1" applyAlignment="1">
      <alignment horizontal="left" vertical="center"/>
    </xf>
    <xf numFmtId="0" fontId="0" fillId="9" borderId="35" xfId="0" applyFill="1" applyBorder="1" applyAlignment="1" applyProtection="1">
      <alignment horizontal="center" vertical="center"/>
      <protection locked="0"/>
    </xf>
    <xf numFmtId="0" fontId="11" fillId="7" borderId="45" xfId="0" applyFont="1" applyFill="1" applyBorder="1" applyAlignment="1">
      <alignment horizontal="left" vertical="center"/>
    </xf>
    <xf numFmtId="0" fontId="11" fillId="7" borderId="46" xfId="0" applyFont="1" applyFill="1" applyBorder="1" applyAlignment="1">
      <alignment horizontal="left" vertical="center"/>
    </xf>
    <xf numFmtId="0" fontId="0" fillId="9" borderId="45" xfId="0" applyFill="1" applyBorder="1" applyAlignment="1" applyProtection="1">
      <alignment horizontal="center" vertical="center"/>
      <protection locked="0"/>
    </xf>
    <xf numFmtId="0" fontId="11" fillId="7" borderId="40" xfId="0" applyFont="1" applyFill="1" applyBorder="1" applyAlignment="1">
      <alignment horizontal="left" vertical="center"/>
    </xf>
    <xf numFmtId="0" fontId="11" fillId="7" borderId="41" xfId="0" applyFont="1" applyFill="1" applyBorder="1" applyAlignment="1">
      <alignment horizontal="left" vertical="center"/>
    </xf>
    <xf numFmtId="0" fontId="0" fillId="9" borderId="40" xfId="0" applyFill="1" applyBorder="1" applyAlignment="1" applyProtection="1">
      <alignment horizontal="center" vertical="center"/>
      <protection locked="0"/>
    </xf>
    <xf numFmtId="0" fontId="0" fillId="9" borderId="44" xfId="0" applyFill="1" applyBorder="1" applyAlignment="1" applyProtection="1">
      <alignment horizontal="center" vertical="center"/>
      <protection locked="0"/>
    </xf>
    <xf numFmtId="0" fontId="0" fillId="8" borderId="36" xfId="0" applyFill="1" applyBorder="1" applyAlignment="1">
      <alignment horizontal="center" vertical="center" wrapText="1"/>
    </xf>
    <xf numFmtId="2" fontId="0" fillId="9" borderId="66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67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68" xfId="1" applyNumberFormat="1" applyFont="1" applyFill="1" applyBorder="1" applyAlignment="1" applyProtection="1">
      <alignment horizontal="center" vertical="center" wrapText="1"/>
      <protection locked="0"/>
    </xf>
    <xf numFmtId="0" fontId="0" fillId="8" borderId="41" xfId="0" applyFill="1" applyBorder="1" applyAlignment="1">
      <alignment horizontal="center" vertical="center" wrapText="1"/>
    </xf>
    <xf numFmtId="9" fontId="0" fillId="3" borderId="41" xfId="1" applyFont="1" applyFill="1" applyBorder="1" applyAlignment="1">
      <alignment horizontal="center" vertical="center" wrapText="1"/>
    </xf>
    <xf numFmtId="9" fontId="0" fillId="3" borderId="44" xfId="1" applyFont="1" applyFill="1" applyBorder="1" applyAlignment="1">
      <alignment horizontal="center" vertical="center" wrapText="1"/>
    </xf>
    <xf numFmtId="0" fontId="0" fillId="3" borderId="41" xfId="1" applyNumberFormat="1" applyFont="1" applyFill="1" applyBorder="1" applyAlignment="1">
      <alignment horizontal="center" vertical="center" wrapText="1"/>
    </xf>
    <xf numFmtId="0" fontId="0" fillId="3" borderId="44" xfId="1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61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46" xfId="0" applyFill="1" applyBorder="1" applyAlignment="1">
      <alignment horizontal="center" vertical="center" wrapText="1"/>
    </xf>
    <xf numFmtId="0" fontId="0" fillId="3" borderId="46" xfId="1" applyNumberFormat="1" applyFont="1" applyFill="1" applyBorder="1" applyAlignment="1">
      <alignment horizontal="center" vertical="center" wrapText="1"/>
    </xf>
    <xf numFmtId="2" fontId="0" fillId="9" borderId="61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69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70" xfId="1" applyNumberFormat="1" applyFont="1" applyFill="1" applyBorder="1" applyAlignment="1" applyProtection="1">
      <alignment horizontal="center" vertical="center" wrapText="1"/>
      <protection locked="0"/>
    </xf>
    <xf numFmtId="2" fontId="0" fillId="3" borderId="36" xfId="1" applyNumberFormat="1" applyFont="1" applyFill="1" applyBorder="1" applyAlignment="1">
      <alignment horizontal="center" vertical="center" wrapText="1"/>
    </xf>
    <xf numFmtId="2" fontId="0" fillId="3" borderId="39" xfId="1" applyNumberFormat="1" applyFont="1" applyFill="1" applyBorder="1" applyAlignment="1">
      <alignment horizontal="center" vertical="center" wrapText="1"/>
    </xf>
    <xf numFmtId="2" fontId="0" fillId="3" borderId="41" xfId="1" applyNumberFormat="1" applyFont="1" applyFill="1" applyBorder="1" applyAlignment="1">
      <alignment horizontal="center" vertical="center" wrapText="1"/>
    </xf>
    <xf numFmtId="2" fontId="0" fillId="3" borderId="44" xfId="1" applyNumberFormat="1" applyFont="1" applyFill="1" applyBorder="1" applyAlignment="1">
      <alignment horizontal="center" vertical="center" wrapText="1"/>
    </xf>
    <xf numFmtId="2" fontId="0" fillId="9" borderId="42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50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43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71" xfId="1" applyNumberFormat="1" applyFont="1" applyFill="1" applyBorder="1" applyAlignment="1" applyProtection="1">
      <alignment horizontal="center" vertical="center" wrapText="1"/>
      <protection locked="0"/>
    </xf>
    <xf numFmtId="0" fontId="0" fillId="3" borderId="49" xfId="1" applyNumberFormat="1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9" borderId="33" xfId="0" applyFill="1" applyBorder="1" applyAlignment="1" applyProtection="1">
      <alignment horizontal="center" vertical="center" wrapText="1"/>
      <protection locked="0"/>
    </xf>
    <xf numFmtId="0" fontId="0" fillId="9" borderId="31" xfId="0" applyFill="1" applyBorder="1" applyAlignment="1" applyProtection="1">
      <alignment horizontal="center" vertical="center" wrapText="1"/>
      <protection locked="0"/>
    </xf>
    <xf numFmtId="9" fontId="0" fillId="3" borderId="31" xfId="1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9" borderId="34" xfId="0" applyFill="1" applyBorder="1" applyAlignment="1" applyProtection="1">
      <alignment horizontal="center" vertical="center" wrapText="1"/>
      <protection locked="0"/>
    </xf>
    <xf numFmtId="0" fontId="9" fillId="7" borderId="30" xfId="0" applyFont="1" applyFill="1" applyBorder="1" applyAlignment="1">
      <alignment horizontal="center" vertical="center"/>
    </xf>
    <xf numFmtId="0" fontId="9" fillId="7" borderId="65" xfId="0" applyFont="1" applyFill="1" applyBorder="1" applyAlignment="1">
      <alignment horizontal="center" vertical="center" wrapText="1"/>
    </xf>
    <xf numFmtId="2" fontId="0" fillId="9" borderId="59" xfId="1" applyNumberFormat="1" applyFont="1" applyFill="1" applyBorder="1" applyAlignment="1" applyProtection="1">
      <alignment horizontal="center" vertical="center" wrapText="1"/>
      <protection locked="0"/>
    </xf>
    <xf numFmtId="2" fontId="0" fillId="9" borderId="65" xfId="1" applyNumberFormat="1" applyFont="1" applyFill="1" applyBorder="1" applyAlignment="1" applyProtection="1">
      <alignment horizontal="center" vertical="center" wrapText="1"/>
      <protection locked="0"/>
    </xf>
    <xf numFmtId="0" fontId="9" fillId="6" borderId="41" xfId="0" applyFont="1" applyFill="1" applyBorder="1" applyAlignment="1">
      <alignment horizontal="center" vertical="center" wrapText="1"/>
    </xf>
    <xf numFmtId="0" fontId="9" fillId="7" borderId="59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/>
    </xf>
    <xf numFmtId="0" fontId="33" fillId="0" borderId="134" xfId="4" applyFont="1" applyBorder="1" applyAlignment="1">
      <alignment horizontal="center"/>
    </xf>
    <xf numFmtId="0" fontId="24" fillId="0" borderId="0" xfId="4"/>
    <xf numFmtId="0" fontId="29" fillId="0" borderId="135" xfId="4" applyFont="1" applyBorder="1"/>
    <xf numFmtId="0" fontId="30" fillId="0" borderId="136" xfId="4" applyFont="1" applyBorder="1" applyAlignment="1">
      <alignment horizontal="center" vertical="center"/>
    </xf>
    <xf numFmtId="0" fontId="30" fillId="0" borderId="137" xfId="4" applyFont="1" applyBorder="1" applyAlignment="1">
      <alignment horizontal="center" vertical="center"/>
    </xf>
    <xf numFmtId="0" fontId="30" fillId="0" borderId="138" xfId="4" applyFont="1" applyBorder="1" applyAlignment="1">
      <alignment horizontal="center" vertical="center"/>
    </xf>
    <xf numFmtId="0" fontId="27" fillId="0" borderId="136" xfId="4" applyFont="1" applyBorder="1" applyAlignment="1">
      <alignment horizontal="center" vertical="center"/>
    </xf>
    <xf numFmtId="0" fontId="27" fillId="0" borderId="137" xfId="4" applyFont="1" applyBorder="1" applyAlignment="1">
      <alignment horizontal="center" vertical="center"/>
    </xf>
    <xf numFmtId="0" fontId="27" fillId="0" borderId="138" xfId="4" applyFont="1" applyBorder="1" applyAlignment="1">
      <alignment horizontal="center" vertical="center"/>
    </xf>
    <xf numFmtId="0" fontId="29" fillId="0" borderId="138" xfId="4" applyFont="1" applyBorder="1"/>
    <xf numFmtId="0" fontId="29" fillId="0" borderId="137" xfId="4" applyFont="1" applyBorder="1"/>
    <xf numFmtId="0" fontId="27" fillId="13" borderId="136" xfId="4" applyFont="1" applyFill="1" applyBorder="1" applyAlignment="1">
      <alignment horizontal="center" vertical="center" wrapText="1"/>
    </xf>
    <xf numFmtId="0" fontId="27" fillId="13" borderId="136" xfId="4" applyFont="1" applyFill="1" applyBorder="1" applyAlignment="1">
      <alignment horizontal="center" vertical="center"/>
    </xf>
    <xf numFmtId="0" fontId="30" fillId="13" borderId="136" xfId="4" applyFont="1" applyFill="1" applyBorder="1" applyAlignment="1">
      <alignment horizontal="center" vertical="center" wrapText="1"/>
    </xf>
    <xf numFmtId="0" fontId="27" fillId="0" borderId="136" xfId="4" applyFont="1" applyBorder="1" applyAlignment="1">
      <alignment horizontal="center"/>
    </xf>
    <xf numFmtId="0" fontId="27" fillId="0" borderId="136" xfId="4" applyFont="1" applyBorder="1" applyAlignment="1">
      <alignment horizontal="center" wrapText="1"/>
    </xf>
    <xf numFmtId="0" fontId="25" fillId="0" borderId="136" xfId="4" applyFont="1" applyBorder="1" applyAlignment="1">
      <alignment horizontal="center"/>
    </xf>
    <xf numFmtId="0" fontId="27" fillId="0" borderId="131" xfId="4" applyFont="1" applyBorder="1" applyAlignment="1">
      <alignment horizontal="center"/>
    </xf>
    <xf numFmtId="0" fontId="29" fillId="0" borderId="133" xfId="4" applyFont="1" applyBorder="1"/>
    <xf numFmtId="0" fontId="29" fillId="0" borderId="132" xfId="4" applyFont="1" applyBorder="1"/>
    <xf numFmtId="0" fontId="27" fillId="0" borderId="131" xfId="4" applyFont="1" applyBorder="1" applyAlignment="1">
      <alignment horizontal="center" wrapText="1"/>
    </xf>
    <xf numFmtId="0" fontId="27" fillId="0" borderId="132" xfId="4" applyFont="1" applyBorder="1" applyAlignment="1">
      <alignment horizontal="center" vertical="center"/>
    </xf>
    <xf numFmtId="0" fontId="27" fillId="0" borderId="131" xfId="4" applyFont="1" applyBorder="1" applyAlignment="1">
      <alignment horizontal="center" vertical="center"/>
    </xf>
    <xf numFmtId="0" fontId="29" fillId="0" borderId="134" xfId="4" applyFont="1" applyBorder="1"/>
    <xf numFmtId="2" fontId="27" fillId="0" borderId="136" xfId="4" applyNumberFormat="1" applyFont="1" applyBorder="1" applyAlignment="1">
      <alignment horizontal="center" vertical="center"/>
    </xf>
    <xf numFmtId="0" fontId="25" fillId="0" borderId="131" xfId="4" applyFont="1" applyBorder="1" applyAlignment="1">
      <alignment horizontal="center" vertical="center"/>
    </xf>
    <xf numFmtId="0" fontId="29" fillId="0" borderId="139" xfId="4" applyFont="1" applyBorder="1"/>
    <xf numFmtId="0" fontId="29" fillId="0" borderId="141" xfId="4" applyFont="1" applyBorder="1"/>
    <xf numFmtId="0" fontId="29" fillId="0" borderId="140" xfId="4" applyFont="1" applyBorder="1"/>
    <xf numFmtId="0" fontId="27" fillId="0" borderId="134" xfId="4" applyFont="1" applyBorder="1" applyAlignment="1">
      <alignment horizontal="center" vertical="center"/>
    </xf>
    <xf numFmtId="0" fontId="27" fillId="0" borderId="139" xfId="4" applyFont="1" applyBorder="1" applyAlignment="1">
      <alignment horizontal="center" vertical="center"/>
    </xf>
    <xf numFmtId="0" fontId="25" fillId="0" borderId="139" xfId="4" applyFont="1" applyBorder="1" applyAlignment="1">
      <alignment horizontal="center"/>
    </xf>
    <xf numFmtId="2" fontId="29" fillId="0" borderId="137" xfId="4" applyNumberFormat="1" applyFont="1" applyBorder="1"/>
    <xf numFmtId="2" fontId="29" fillId="0" borderId="138" xfId="4" applyNumberFormat="1" applyFont="1" applyBorder="1"/>
    <xf numFmtId="2" fontId="30" fillId="0" borderId="136" xfId="4" applyNumberFormat="1" applyFont="1" applyBorder="1" applyAlignment="1">
      <alignment horizontal="center" vertical="center"/>
    </xf>
    <xf numFmtId="165" fontId="27" fillId="0" borderId="137" xfId="4" applyNumberFormat="1" applyFont="1" applyBorder="1" applyAlignment="1">
      <alignment horizontal="left"/>
    </xf>
    <xf numFmtId="0" fontId="10" fillId="0" borderId="0" xfId="0" quotePrefix="1" applyFont="1" applyAlignment="1">
      <alignment vertical="center"/>
    </xf>
    <xf numFmtId="0" fontId="34" fillId="2" borderId="31" xfId="0" applyFon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 wrapText="1"/>
    </xf>
    <xf numFmtId="0" fontId="35" fillId="8" borderId="36" xfId="0" applyFont="1" applyFill="1" applyBorder="1" applyAlignment="1">
      <alignment horizontal="center" vertical="center" wrapText="1"/>
    </xf>
    <xf numFmtId="0" fontId="35" fillId="8" borderId="37" xfId="0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9" borderId="37" xfId="0" applyFill="1" applyBorder="1" applyAlignment="1" applyProtection="1">
      <alignment horizontal="center" vertical="center" wrapText="1"/>
      <protection locked="0"/>
    </xf>
    <xf numFmtId="0" fontId="0" fillId="9" borderId="54" xfId="0" applyFill="1" applyBorder="1" applyAlignment="1" applyProtection="1">
      <alignment horizontal="center" vertical="center" wrapText="1"/>
      <protection locked="0"/>
    </xf>
    <xf numFmtId="0" fontId="0" fillId="9" borderId="143" xfId="0" applyFill="1" applyBorder="1" applyAlignment="1" applyProtection="1">
      <alignment horizontal="center" vertical="center" wrapText="1"/>
      <protection locked="0"/>
    </xf>
    <xf numFmtId="0" fontId="0" fillId="8" borderId="40" xfId="0" applyFill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35" fillId="8" borderId="42" xfId="0" applyFont="1" applyFill="1" applyBorder="1" applyAlignment="1">
      <alignment horizontal="center" vertical="center" wrapText="1"/>
    </xf>
    <xf numFmtId="0" fontId="0" fillId="8" borderId="45" xfId="0" applyFill="1" applyBorder="1" applyAlignment="1">
      <alignment horizontal="center" vertical="center" wrapText="1"/>
    </xf>
    <xf numFmtId="0" fontId="35" fillId="8" borderId="46" xfId="0" applyFont="1" applyFill="1" applyBorder="1" applyAlignment="1">
      <alignment horizontal="center" vertical="center" wrapText="1"/>
    </xf>
    <xf numFmtId="0" fontId="35" fillId="8" borderId="47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9" borderId="42" xfId="0" applyFill="1" applyBorder="1" applyAlignment="1" applyProtection="1">
      <alignment horizontal="center" vertical="center" wrapText="1"/>
      <protection locked="0"/>
    </xf>
    <xf numFmtId="0" fontId="0" fillId="9" borderId="50" xfId="0" applyFill="1" applyBorder="1" applyAlignment="1" applyProtection="1">
      <alignment horizontal="center" vertical="center" wrapText="1"/>
      <protection locked="0"/>
    </xf>
    <xf numFmtId="0" fontId="0" fillId="3" borderId="42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/>
    </xf>
    <xf numFmtId="0" fontId="11" fillId="7" borderId="40" xfId="0" applyFont="1" applyFill="1" applyBorder="1" applyAlignment="1">
      <alignment horizontal="center" vertical="center"/>
    </xf>
    <xf numFmtId="0" fontId="11" fillId="7" borderId="45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E8ED6C8B-4193-46BC-A758-EDC953E28AC5}"/>
    <cellStyle name="Normal 3" xfId="3" xr:uid="{F7EE167A-1C96-4F92-BFC3-1598CE90DE53}"/>
    <cellStyle name="Normal 4" xfId="4" xr:uid="{D7691E84-6B29-44C7-BCC6-A624D96DBF0B}"/>
    <cellStyle name="Percent" xfId="1" builtinId="5"/>
  </cellStyles>
  <dxfs count="0"/>
  <tableStyles count="0" defaultTableStyle="TableStyleMedium2" defaultPivotStyle="PivotStyleLight16"/>
  <colors>
    <mruColors>
      <color rgb="FF003333"/>
      <color rgb="FF00336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55988</xdr:colOff>
      <xdr:row>65</xdr:row>
      <xdr:rowOff>83576</xdr:rowOff>
    </xdr:from>
    <xdr:to>
      <xdr:col>3</xdr:col>
      <xdr:colOff>186725</xdr:colOff>
      <xdr:row>68</xdr:row>
      <xdr:rowOff>71858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908" y="9258056"/>
          <a:ext cx="366657" cy="517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186690</xdr:colOff>
      <xdr:row>4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1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67733</xdr:colOff>
      <xdr:row>117</xdr:row>
      <xdr:rowOff>228601</xdr:rowOff>
    </xdr:from>
    <xdr:to>
      <xdr:col>28</xdr:col>
      <xdr:colOff>33447</xdr:colOff>
      <xdr:row>123</xdr:row>
      <xdr:rowOff>187468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C68E7-BAA9-406D-A587-756084C6F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600" y="27880734"/>
          <a:ext cx="1489714" cy="13209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186690</xdr:colOff>
      <xdr:row>4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1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59266</xdr:colOff>
      <xdr:row>117</xdr:row>
      <xdr:rowOff>237067</xdr:rowOff>
    </xdr:from>
    <xdr:to>
      <xdr:col>28</xdr:col>
      <xdr:colOff>34505</xdr:colOff>
      <xdr:row>123</xdr:row>
      <xdr:rowOff>186409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95F4A-92A1-44E6-A8F0-6D80E2FC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1133" y="27889200"/>
          <a:ext cx="1489714" cy="13209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45720</xdr:colOff>
      <xdr:row>2</xdr:row>
      <xdr:rowOff>22860</xdr:rowOff>
    </xdr:from>
    <xdr:to>
      <xdr:col>1</xdr:col>
      <xdr:colOff>411480</xdr:colOff>
      <xdr:row>4</xdr:row>
      <xdr:rowOff>152400</xdr:rowOff>
    </xdr:to>
    <xdr:pic>
      <xdr:nvPicPr>
        <xdr:cNvPr id="4" name="Picture 2091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381000"/>
          <a:ext cx="3657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956733</xdr:colOff>
      <xdr:row>50</xdr:row>
      <xdr:rowOff>67734</xdr:rowOff>
    </xdr:from>
    <xdr:to>
      <xdr:col>11</xdr:col>
      <xdr:colOff>80437</xdr:colOff>
      <xdr:row>56</xdr:row>
      <xdr:rowOff>71686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1EE3B5-0A27-4F19-AF73-3DE34137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9466" y="11286067"/>
          <a:ext cx="3724914" cy="1110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45720</xdr:colOff>
      <xdr:row>2</xdr:row>
      <xdr:rowOff>22860</xdr:rowOff>
    </xdr:from>
    <xdr:to>
      <xdr:col>1</xdr:col>
      <xdr:colOff>411480</xdr:colOff>
      <xdr:row>4</xdr:row>
      <xdr:rowOff>152400</xdr:rowOff>
    </xdr:to>
    <xdr:pic>
      <xdr:nvPicPr>
        <xdr:cNvPr id="4" name="Picture 2091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381000"/>
          <a:ext cx="3657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129540</xdr:colOff>
      <xdr:row>49</xdr:row>
      <xdr:rowOff>121920</xdr:rowOff>
    </xdr:from>
    <xdr:to>
      <xdr:col>7</xdr:col>
      <xdr:colOff>232410</xdr:colOff>
      <xdr:row>49</xdr:row>
      <xdr:rowOff>152400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5394960" y="11087100"/>
          <a:ext cx="106680" cy="3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897467</xdr:colOff>
      <xdr:row>50</xdr:row>
      <xdr:rowOff>8467</xdr:rowOff>
    </xdr:from>
    <xdr:to>
      <xdr:col>11</xdr:col>
      <xdr:colOff>34506</xdr:colOff>
      <xdr:row>56</xdr:row>
      <xdr:rowOff>989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012E89-9FEB-4684-96DE-65CF799B6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0200" y="11226800"/>
          <a:ext cx="3724914" cy="11101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186690</xdr:colOff>
      <xdr:row>4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1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142268</xdr:colOff>
      <xdr:row>73</xdr:row>
      <xdr:rowOff>33872</xdr:rowOff>
    </xdr:from>
    <xdr:to>
      <xdr:col>24</xdr:col>
      <xdr:colOff>123499</xdr:colOff>
      <xdr:row>74</xdr:row>
      <xdr:rowOff>74397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895368" y="16645472"/>
          <a:ext cx="484151" cy="25388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21</xdr:col>
      <xdr:colOff>220134</xdr:colOff>
      <xdr:row>71</xdr:row>
      <xdr:rowOff>143933</xdr:rowOff>
    </xdr:from>
    <xdr:to>
      <xdr:col>27</xdr:col>
      <xdr:colOff>185848</xdr:colOff>
      <xdr:row>77</xdr:row>
      <xdr:rowOff>194875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6AE3FE-525D-410F-BFCF-18B543098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5801" y="16222133"/>
          <a:ext cx="1489714" cy="13209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2</xdr:row>
      <xdr:rowOff>83820</xdr:rowOff>
    </xdr:from>
    <xdr:to>
      <xdr:col>3</xdr:col>
      <xdr:colOff>186690</xdr:colOff>
      <xdr:row>4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510540"/>
          <a:ext cx="38481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203200</xdr:colOff>
      <xdr:row>77</xdr:row>
      <xdr:rowOff>127000</xdr:rowOff>
    </xdr:from>
    <xdr:to>
      <xdr:col>27</xdr:col>
      <xdr:colOff>186059</xdr:colOff>
      <xdr:row>83</xdr:row>
      <xdr:rowOff>187467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49DE2-F58B-4097-B8B4-5C85587F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8867" y="17475200"/>
          <a:ext cx="1489714" cy="13209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1</xdr:row>
      <xdr:rowOff>0</xdr:rowOff>
    </xdr:from>
    <xdr:ext cx="381000" cy="4953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175260"/>
          <a:ext cx="381000" cy="4953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22</xdr:col>
      <xdr:colOff>60960</xdr:colOff>
      <xdr:row>42</xdr:row>
      <xdr:rowOff>22860</xdr:rowOff>
    </xdr:from>
    <xdr:to>
      <xdr:col>28</xdr:col>
      <xdr:colOff>34294</xdr:colOff>
      <xdr:row>48</xdr:row>
      <xdr:rowOff>3317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2D102-DE78-47AE-B1A9-44BCC725C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7459980"/>
          <a:ext cx="994414" cy="9348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2</xdr:row>
      <xdr:rowOff>83820</xdr:rowOff>
    </xdr:from>
    <xdr:ext cx="420485" cy="491837"/>
    <xdr:pic>
      <xdr:nvPicPr>
        <xdr:cNvPr id="2" name="Picture 1">
          <a:extLst>
            <a:ext uri="{FF2B5EF4-FFF2-40B4-BE49-F238E27FC236}">
              <a16:creationId xmlns:a16="http://schemas.microsoft.com/office/drawing/2014/main" id="{7F84A7EA-6A2D-462F-B43C-183AAE3F1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508635"/>
          <a:ext cx="420485" cy="491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4515-2723-48AA-BAF6-DA2B9C8BC146}">
  <sheetPr>
    <pageSetUpPr fitToPage="1"/>
  </sheetPr>
  <dimension ref="B1:AD69"/>
  <sheetViews>
    <sheetView view="pageBreakPreview" topLeftCell="A30" zoomScaleNormal="100" zoomScaleSheetLayoutView="100" workbookViewId="0">
      <selection activeCell="X54" sqref="X54"/>
    </sheetView>
  </sheetViews>
  <sheetFormatPr defaultColWidth="8.85546875" defaultRowHeight="15"/>
  <cols>
    <col min="1" max="30" width="3.7109375" style="1" customWidth="1"/>
    <col min="31" max="16384" width="8.85546875" style="1"/>
  </cols>
  <sheetData>
    <row r="1" spans="2:30" ht="16.899999999999999" customHeight="1" thickBot="1"/>
    <row r="2" spans="2:30" ht="16.899999999999999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</row>
    <row r="3" spans="2:30" ht="16.899999999999999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7"/>
    </row>
    <row r="4" spans="2:30" ht="25.5" customHeight="1">
      <c r="B4" s="5"/>
      <c r="C4" s="214" t="s">
        <v>0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7"/>
    </row>
    <row r="5" spans="2:30" ht="25.5" customHeight="1">
      <c r="B5" s="5"/>
      <c r="C5" s="214" t="s">
        <v>33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7"/>
    </row>
    <row r="6" spans="2:30" ht="25.5" customHeight="1">
      <c r="B6" s="5"/>
      <c r="C6" s="214" t="s">
        <v>1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7"/>
    </row>
    <row r="7" spans="2:30" ht="25.5" customHeight="1">
      <c r="B7" s="5"/>
      <c r="C7" s="214" t="s">
        <v>2</v>
      </c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7"/>
    </row>
    <row r="8" spans="2:30" ht="16.899999999999999" customHeight="1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7"/>
    </row>
    <row r="9" spans="2:30" ht="16.899999999999999" customHeight="1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7"/>
    </row>
    <row r="10" spans="2:30" ht="16.899999999999999" customHeight="1">
      <c r="B10" s="5"/>
      <c r="C10" s="6"/>
      <c r="D10" s="6"/>
      <c r="E10" s="6"/>
      <c r="F10" s="6"/>
      <c r="G10" s="6"/>
      <c r="H10" s="6"/>
      <c r="I10" s="215" t="s">
        <v>3</v>
      </c>
      <c r="J10" s="215"/>
      <c r="K10" s="215"/>
      <c r="L10" s="13" t="s">
        <v>4</v>
      </c>
      <c r="M10" s="200" t="s">
        <v>5</v>
      </c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6"/>
      <c r="Y10" s="6"/>
      <c r="Z10" s="6"/>
      <c r="AA10" s="6"/>
      <c r="AB10" s="6"/>
      <c r="AC10" s="6"/>
      <c r="AD10" s="7"/>
    </row>
    <row r="11" spans="2:30" ht="16.899999999999999" customHeight="1">
      <c r="B11" s="5"/>
      <c r="C11" s="6"/>
      <c r="D11" s="6"/>
      <c r="E11" s="6"/>
      <c r="F11" s="6"/>
      <c r="G11" s="6"/>
      <c r="H11" s="6"/>
      <c r="I11" s="215" t="s">
        <v>6</v>
      </c>
      <c r="J11" s="215"/>
      <c r="K11" s="215"/>
      <c r="L11" s="13" t="s">
        <v>4</v>
      </c>
      <c r="M11" s="200" t="s">
        <v>5</v>
      </c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6"/>
      <c r="Y11" s="6"/>
      <c r="Z11" s="6"/>
      <c r="AA11" s="6"/>
      <c r="AB11" s="6"/>
      <c r="AC11" s="6"/>
      <c r="AD11" s="7"/>
    </row>
    <row r="12" spans="2:30" ht="16.899999999999999" customHeight="1">
      <c r="B12" s="5"/>
      <c r="C12" s="6"/>
      <c r="D12" s="6"/>
      <c r="E12" s="6"/>
      <c r="F12" s="6"/>
      <c r="G12" s="6"/>
      <c r="H12" s="6"/>
      <c r="I12" s="215" t="s">
        <v>7</v>
      </c>
      <c r="J12" s="215"/>
      <c r="K12" s="215"/>
      <c r="L12" s="13" t="s">
        <v>4</v>
      </c>
      <c r="M12" s="200" t="s">
        <v>348</v>
      </c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6"/>
      <c r="Y12" s="6"/>
      <c r="Z12" s="6"/>
      <c r="AA12" s="6"/>
      <c r="AB12" s="6"/>
      <c r="AC12" s="6"/>
      <c r="AD12" s="7"/>
    </row>
    <row r="13" spans="2:30" ht="16.899999999999999" customHeight="1">
      <c r="B13" s="5"/>
      <c r="C13" s="6"/>
      <c r="D13" s="6"/>
      <c r="E13" s="6"/>
      <c r="F13" s="6"/>
      <c r="G13" s="6"/>
      <c r="H13" s="6"/>
      <c r="I13" s="215" t="s">
        <v>8</v>
      </c>
      <c r="J13" s="215"/>
      <c r="K13" s="215"/>
      <c r="L13" s="13" t="s">
        <v>4</v>
      </c>
      <c r="M13" s="200" t="s">
        <v>349</v>
      </c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6"/>
      <c r="Y13" s="6"/>
      <c r="Z13" s="6"/>
      <c r="AA13" s="6"/>
      <c r="AB13" s="6"/>
      <c r="AC13" s="6"/>
      <c r="AD13" s="7"/>
    </row>
    <row r="14" spans="2:30" ht="16.899999999999999" customHeight="1">
      <c r="B14" s="5"/>
      <c r="C14" s="6"/>
      <c r="D14" s="6"/>
      <c r="E14" s="6"/>
      <c r="F14" s="6"/>
      <c r="G14" s="6"/>
      <c r="H14" s="6"/>
      <c r="I14" s="215" t="s">
        <v>9</v>
      </c>
      <c r="J14" s="215"/>
      <c r="K14" s="215"/>
      <c r="L14" s="13" t="s">
        <v>4</v>
      </c>
      <c r="M14" s="216">
        <v>46119</v>
      </c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6"/>
      <c r="Y14" s="6"/>
      <c r="Z14" s="6"/>
      <c r="AA14" s="6"/>
      <c r="AB14" s="6"/>
      <c r="AC14" s="6"/>
      <c r="AD14" s="7"/>
    </row>
    <row r="15" spans="2:30" ht="16.899999999999999" customHeight="1">
      <c r="B15" s="5"/>
      <c r="C15" s="6"/>
      <c r="D15" s="6"/>
      <c r="E15" s="6"/>
      <c r="F15" s="6"/>
      <c r="G15" s="6"/>
      <c r="H15" s="6"/>
      <c r="I15" s="15"/>
      <c r="J15" s="15"/>
      <c r="K15" s="15"/>
      <c r="L15" s="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6"/>
      <c r="Y15" s="6"/>
      <c r="Z15" s="6"/>
      <c r="AA15" s="6"/>
      <c r="AB15" s="6"/>
      <c r="AC15" s="6"/>
      <c r="AD15" s="7"/>
    </row>
    <row r="16" spans="2:30" ht="16.899999999999999" customHeight="1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7"/>
    </row>
    <row r="17" spans="2:30" ht="16.899999999999999" customHeight="1">
      <c r="B17" s="5"/>
      <c r="C17" s="6"/>
      <c r="D17" s="16" t="s">
        <v>35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6" t="s">
        <v>36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7"/>
    </row>
    <row r="18" spans="2:30" ht="16.899999999999999" customHeight="1">
      <c r="B18" s="5"/>
      <c r="C18" s="6"/>
      <c r="D18" s="201" t="s">
        <v>10</v>
      </c>
      <c r="E18" s="201"/>
      <c r="F18" s="201"/>
      <c r="G18" s="201"/>
      <c r="H18" s="13" t="s">
        <v>4</v>
      </c>
      <c r="I18" s="200" t="s">
        <v>11</v>
      </c>
      <c r="J18" s="200"/>
      <c r="K18" s="200"/>
      <c r="L18" s="200"/>
      <c r="M18" s="200"/>
      <c r="N18" s="200"/>
      <c r="O18" s="6"/>
      <c r="P18" s="6"/>
      <c r="Q18" s="6"/>
      <c r="R18" s="201" t="s">
        <v>10</v>
      </c>
      <c r="S18" s="201"/>
      <c r="T18" s="201"/>
      <c r="U18" s="201"/>
      <c r="V18" s="13" t="s">
        <v>4</v>
      </c>
      <c r="W18" s="202" t="s">
        <v>351</v>
      </c>
      <c r="X18" s="203"/>
      <c r="Y18" s="203"/>
      <c r="Z18" s="203"/>
      <c r="AA18" s="203"/>
      <c r="AB18" s="204"/>
      <c r="AC18" s="6"/>
      <c r="AD18" s="7"/>
    </row>
    <row r="19" spans="2:30" ht="16.899999999999999" customHeight="1">
      <c r="B19" s="5"/>
      <c r="C19" s="6"/>
      <c r="D19" s="201" t="s">
        <v>12</v>
      </c>
      <c r="E19" s="201"/>
      <c r="F19" s="201"/>
      <c r="G19" s="201"/>
      <c r="H19" s="13" t="s">
        <v>4</v>
      </c>
      <c r="I19" s="200" t="s">
        <v>350</v>
      </c>
      <c r="J19" s="200"/>
      <c r="K19" s="200"/>
      <c r="L19" s="200"/>
      <c r="M19" s="200"/>
      <c r="N19" s="200"/>
      <c r="O19" s="6"/>
      <c r="P19" s="6"/>
      <c r="Q19" s="6"/>
      <c r="R19" s="201" t="s">
        <v>12</v>
      </c>
      <c r="S19" s="201"/>
      <c r="T19" s="201"/>
      <c r="U19" s="201"/>
      <c r="V19" s="13" t="s">
        <v>4</v>
      </c>
      <c r="W19" s="202" t="s">
        <v>352</v>
      </c>
      <c r="X19" s="203"/>
      <c r="Y19" s="203"/>
      <c r="Z19" s="203"/>
      <c r="AA19" s="203"/>
      <c r="AB19" s="204"/>
      <c r="AC19" s="6"/>
      <c r="AD19" s="7"/>
    </row>
    <row r="20" spans="2:30" ht="16.899999999999999" customHeight="1">
      <c r="B20" s="5"/>
      <c r="C20" s="6"/>
      <c r="D20" s="201" t="s">
        <v>13</v>
      </c>
      <c r="E20" s="201"/>
      <c r="F20" s="201"/>
      <c r="G20" s="201"/>
      <c r="H20" s="13" t="s">
        <v>4</v>
      </c>
      <c r="I20" s="200" t="s">
        <v>357</v>
      </c>
      <c r="J20" s="200"/>
      <c r="K20" s="200"/>
      <c r="L20" s="200"/>
      <c r="M20" s="200"/>
      <c r="N20" s="200"/>
      <c r="O20" s="6"/>
      <c r="P20" s="6"/>
      <c r="Q20" s="6"/>
      <c r="R20" s="201" t="s">
        <v>13</v>
      </c>
      <c r="S20" s="201"/>
      <c r="T20" s="201"/>
      <c r="U20" s="201"/>
      <c r="V20" s="13" t="s">
        <v>4</v>
      </c>
      <c r="W20" s="202" t="s">
        <v>359</v>
      </c>
      <c r="X20" s="203"/>
      <c r="Y20" s="203"/>
      <c r="Z20" s="203"/>
      <c r="AA20" s="203"/>
      <c r="AB20" s="204"/>
      <c r="AC20" s="6"/>
      <c r="AD20" s="7"/>
    </row>
    <row r="21" spans="2:30" ht="16.899999999999999" customHeight="1">
      <c r="B21" s="5"/>
      <c r="C21" s="6"/>
      <c r="D21" s="201" t="s">
        <v>14</v>
      </c>
      <c r="E21" s="201"/>
      <c r="F21" s="201"/>
      <c r="G21" s="201"/>
      <c r="H21" s="13" t="s">
        <v>4</v>
      </c>
      <c r="I21" s="200">
        <v>2025</v>
      </c>
      <c r="J21" s="200"/>
      <c r="K21" s="200"/>
      <c r="L21" s="200"/>
      <c r="M21" s="200"/>
      <c r="N21" s="200"/>
      <c r="O21" s="6"/>
      <c r="P21" s="6"/>
      <c r="Q21" s="6"/>
      <c r="R21" s="201" t="s">
        <v>14</v>
      </c>
      <c r="S21" s="201"/>
      <c r="T21" s="201"/>
      <c r="U21" s="201"/>
      <c r="V21" s="13" t="s">
        <v>4</v>
      </c>
      <c r="W21" s="202">
        <v>2025</v>
      </c>
      <c r="X21" s="203"/>
      <c r="Y21" s="203"/>
      <c r="Z21" s="203"/>
      <c r="AA21" s="203"/>
      <c r="AB21" s="204"/>
      <c r="AC21" s="6"/>
      <c r="AD21" s="7"/>
    </row>
    <row r="22" spans="2:30" ht="16.899999999999999" customHeight="1">
      <c r="B22" s="5"/>
      <c r="C22" s="6"/>
      <c r="D22" s="201" t="s">
        <v>26</v>
      </c>
      <c r="E22" s="201"/>
      <c r="F22" s="201"/>
      <c r="G22" s="201"/>
      <c r="H22" s="13" t="s">
        <v>4</v>
      </c>
      <c r="I22" s="200" t="s">
        <v>44</v>
      </c>
      <c r="J22" s="200"/>
      <c r="K22" s="200"/>
      <c r="L22" s="200"/>
      <c r="M22" s="200"/>
      <c r="N22" s="200"/>
      <c r="O22" s="6"/>
      <c r="P22" s="6"/>
      <c r="Q22" s="6"/>
      <c r="R22" s="201" t="s">
        <v>26</v>
      </c>
      <c r="S22" s="201"/>
      <c r="T22" s="201"/>
      <c r="U22" s="201"/>
      <c r="V22" s="13" t="s">
        <v>4</v>
      </c>
      <c r="W22" s="202" t="s">
        <v>44</v>
      </c>
      <c r="X22" s="203"/>
      <c r="Y22" s="203"/>
      <c r="Z22" s="203"/>
      <c r="AA22" s="203"/>
      <c r="AB22" s="204"/>
      <c r="AC22" s="6"/>
      <c r="AD22" s="7"/>
    </row>
    <row r="23" spans="2:30" ht="16.899999999999999" customHeight="1">
      <c r="B23" s="5"/>
      <c r="C23" s="6"/>
      <c r="D23" s="201" t="s">
        <v>27</v>
      </c>
      <c r="E23" s="201"/>
      <c r="F23" s="201"/>
      <c r="G23" s="201"/>
      <c r="H23" s="13" t="s">
        <v>4</v>
      </c>
      <c r="I23" s="200" t="s">
        <v>44</v>
      </c>
      <c r="J23" s="200"/>
      <c r="K23" s="200"/>
      <c r="L23" s="200"/>
      <c r="M23" s="200"/>
      <c r="N23" s="200"/>
      <c r="O23" s="6"/>
      <c r="P23" s="6"/>
      <c r="Q23" s="6"/>
      <c r="R23" s="201" t="s">
        <v>27</v>
      </c>
      <c r="S23" s="201"/>
      <c r="T23" s="201"/>
      <c r="U23" s="201"/>
      <c r="V23" s="13" t="s">
        <v>4</v>
      </c>
      <c r="W23" s="202" t="s">
        <v>44</v>
      </c>
      <c r="X23" s="203"/>
      <c r="Y23" s="203"/>
      <c r="Z23" s="203"/>
      <c r="AA23" s="203"/>
      <c r="AB23" s="204"/>
      <c r="AC23" s="6"/>
      <c r="AD23" s="7"/>
    </row>
    <row r="24" spans="2:30" ht="16.899999999999999" customHeight="1">
      <c r="B24" s="5"/>
      <c r="C24" s="6"/>
      <c r="D24" s="197" t="s">
        <v>28</v>
      </c>
      <c r="E24" s="198"/>
      <c r="F24" s="198"/>
      <c r="G24" s="199"/>
      <c r="H24" s="13" t="s">
        <v>4</v>
      </c>
      <c r="I24" s="200" t="s">
        <v>29</v>
      </c>
      <c r="J24" s="200"/>
      <c r="K24" s="200"/>
      <c r="L24" s="200"/>
      <c r="M24" s="200"/>
      <c r="N24" s="200"/>
      <c r="O24" s="6"/>
      <c r="P24" s="6"/>
      <c r="Q24" s="6"/>
      <c r="R24" s="197" t="s">
        <v>28</v>
      </c>
      <c r="S24" s="198"/>
      <c r="T24" s="198"/>
      <c r="U24" s="199"/>
      <c r="V24" s="13" t="s">
        <v>4</v>
      </c>
      <c r="W24" s="202" t="s">
        <v>29</v>
      </c>
      <c r="X24" s="203"/>
      <c r="Y24" s="203"/>
      <c r="Z24" s="203"/>
      <c r="AA24" s="203"/>
      <c r="AB24" s="204"/>
      <c r="AC24" s="6"/>
      <c r="AD24" s="7"/>
    </row>
    <row r="25" spans="2:30">
      <c r="B25" s="5"/>
      <c r="C25" s="6"/>
      <c r="D25" s="197" t="s">
        <v>30</v>
      </c>
      <c r="E25" s="198"/>
      <c r="F25" s="198"/>
      <c r="G25" s="199"/>
      <c r="H25" s="13" t="s">
        <v>4</v>
      </c>
      <c r="I25" s="200" t="s">
        <v>358</v>
      </c>
      <c r="J25" s="200"/>
      <c r="K25" s="200"/>
      <c r="L25" s="200"/>
      <c r="M25" s="200"/>
      <c r="N25" s="200"/>
      <c r="O25" s="6"/>
      <c r="P25" s="6"/>
      <c r="Q25" s="6"/>
      <c r="R25" s="197" t="s">
        <v>30</v>
      </c>
      <c r="S25" s="198"/>
      <c r="T25" s="198"/>
      <c r="U25" s="199"/>
      <c r="V25" s="13" t="s">
        <v>4</v>
      </c>
      <c r="W25" s="202" t="s">
        <v>358</v>
      </c>
      <c r="X25" s="203"/>
      <c r="Y25" s="203"/>
      <c r="Z25" s="203"/>
      <c r="AA25" s="203"/>
      <c r="AB25" s="204"/>
      <c r="AC25" s="6"/>
      <c r="AD25" s="7"/>
    </row>
    <row r="26" spans="2:30">
      <c r="B26" s="5"/>
      <c r="C26" s="6"/>
      <c r="D26" s="201" t="s">
        <v>16</v>
      </c>
      <c r="E26" s="201"/>
      <c r="F26" s="201"/>
      <c r="G26" s="201"/>
      <c r="H26" s="13" t="s">
        <v>4</v>
      </c>
      <c r="I26" s="200" t="s">
        <v>285</v>
      </c>
      <c r="J26" s="200"/>
      <c r="K26" s="200"/>
      <c r="L26" s="200"/>
      <c r="M26" s="200"/>
      <c r="N26" s="200"/>
      <c r="O26" s="6"/>
      <c r="P26" s="6"/>
      <c r="Q26" s="6"/>
      <c r="R26" s="201" t="s">
        <v>16</v>
      </c>
      <c r="S26" s="201"/>
      <c r="T26" s="201"/>
      <c r="U26" s="201"/>
      <c r="V26" s="13" t="s">
        <v>4</v>
      </c>
      <c r="W26" s="202" t="s">
        <v>285</v>
      </c>
      <c r="X26" s="203"/>
      <c r="Y26" s="203"/>
      <c r="Z26" s="203"/>
      <c r="AA26" s="203"/>
      <c r="AB26" s="204"/>
      <c r="AC26" s="6"/>
      <c r="AD26" s="7"/>
    </row>
    <row r="27" spans="2:30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AC27" s="6"/>
      <c r="AD27" s="7"/>
    </row>
    <row r="28" spans="2:30">
      <c r="B28" s="5"/>
      <c r="C28" s="6"/>
      <c r="D28" s="16" t="s">
        <v>37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6" t="s">
        <v>38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/>
    </row>
    <row r="29" spans="2:30">
      <c r="B29" s="5"/>
      <c r="C29" s="6"/>
      <c r="D29" s="201" t="s">
        <v>10</v>
      </c>
      <c r="E29" s="201"/>
      <c r="F29" s="201"/>
      <c r="G29" s="201"/>
      <c r="H29" s="13" t="s">
        <v>4</v>
      </c>
      <c r="I29" s="200" t="s">
        <v>11</v>
      </c>
      <c r="J29" s="200"/>
      <c r="K29" s="200"/>
      <c r="L29" s="200"/>
      <c r="M29" s="200"/>
      <c r="N29" s="200"/>
      <c r="O29" s="6"/>
      <c r="P29" s="6"/>
      <c r="Q29" s="6"/>
      <c r="R29" s="201" t="s">
        <v>10</v>
      </c>
      <c r="S29" s="201"/>
      <c r="T29" s="201"/>
      <c r="U29" s="201"/>
      <c r="V29" s="13" t="s">
        <v>4</v>
      </c>
      <c r="W29" s="200" t="s">
        <v>351</v>
      </c>
      <c r="X29" s="200"/>
      <c r="Y29" s="200"/>
      <c r="Z29" s="200"/>
      <c r="AA29" s="200"/>
      <c r="AB29" s="200"/>
      <c r="AC29" s="6"/>
      <c r="AD29" s="7"/>
    </row>
    <row r="30" spans="2:30">
      <c r="B30" s="5"/>
      <c r="C30" s="6"/>
      <c r="D30" s="201" t="s">
        <v>12</v>
      </c>
      <c r="E30" s="201"/>
      <c r="F30" s="201"/>
      <c r="G30" s="201"/>
      <c r="H30" s="13" t="s">
        <v>4</v>
      </c>
      <c r="I30" s="200" t="s">
        <v>350</v>
      </c>
      <c r="J30" s="200"/>
      <c r="K30" s="200"/>
      <c r="L30" s="200"/>
      <c r="M30" s="200"/>
      <c r="N30" s="200"/>
      <c r="O30" s="6"/>
      <c r="P30" s="6"/>
      <c r="Q30" s="6"/>
      <c r="R30" s="201" t="s">
        <v>12</v>
      </c>
      <c r="S30" s="201"/>
      <c r="T30" s="201"/>
      <c r="U30" s="201"/>
      <c r="V30" s="13" t="s">
        <v>4</v>
      </c>
      <c r="W30" s="200" t="s">
        <v>352</v>
      </c>
      <c r="X30" s="200"/>
      <c r="Y30" s="200"/>
      <c r="Z30" s="200"/>
      <c r="AA30" s="200"/>
      <c r="AB30" s="200"/>
      <c r="AC30" s="6"/>
      <c r="AD30" s="7"/>
    </row>
    <row r="31" spans="2:30">
      <c r="B31" s="5"/>
      <c r="C31" s="6"/>
      <c r="D31" s="201" t="s">
        <v>13</v>
      </c>
      <c r="E31" s="201"/>
      <c r="F31" s="201"/>
      <c r="G31" s="201"/>
      <c r="H31" s="13" t="s">
        <v>4</v>
      </c>
      <c r="I31" s="200" t="s">
        <v>365</v>
      </c>
      <c r="J31" s="200"/>
      <c r="K31" s="200"/>
      <c r="L31" s="200"/>
      <c r="M31" s="200"/>
      <c r="N31" s="200"/>
      <c r="O31" s="6"/>
      <c r="P31" s="6"/>
      <c r="Q31" s="6"/>
      <c r="R31" s="201" t="s">
        <v>13</v>
      </c>
      <c r="S31" s="201"/>
      <c r="T31" s="201"/>
      <c r="U31" s="201"/>
      <c r="V31" s="13" t="s">
        <v>4</v>
      </c>
      <c r="W31" s="200" t="s">
        <v>369</v>
      </c>
      <c r="X31" s="200"/>
      <c r="Y31" s="200"/>
      <c r="Z31" s="200"/>
      <c r="AA31" s="200"/>
      <c r="AB31" s="200"/>
      <c r="AC31" s="6"/>
      <c r="AD31" s="7"/>
    </row>
    <row r="32" spans="2:30">
      <c r="B32" s="5"/>
      <c r="C32" s="6"/>
      <c r="D32" s="201" t="s">
        <v>14</v>
      </c>
      <c r="E32" s="201"/>
      <c r="F32" s="201"/>
      <c r="G32" s="201"/>
      <c r="H32" s="13" t="s">
        <v>4</v>
      </c>
      <c r="I32" s="200">
        <v>2025</v>
      </c>
      <c r="J32" s="200"/>
      <c r="K32" s="200"/>
      <c r="L32" s="200"/>
      <c r="M32" s="200"/>
      <c r="N32" s="200"/>
      <c r="O32" s="6"/>
      <c r="P32" s="6"/>
      <c r="Q32" s="6"/>
      <c r="R32" s="201" t="s">
        <v>14</v>
      </c>
      <c r="S32" s="201"/>
      <c r="T32" s="201"/>
      <c r="U32" s="201"/>
      <c r="V32" s="13" t="s">
        <v>4</v>
      </c>
      <c r="W32" s="200">
        <v>2025</v>
      </c>
      <c r="X32" s="200"/>
      <c r="Y32" s="200"/>
      <c r="Z32" s="200"/>
      <c r="AA32" s="200"/>
      <c r="AB32" s="200"/>
      <c r="AC32" s="6"/>
      <c r="AD32" s="7"/>
    </row>
    <row r="33" spans="2:30">
      <c r="B33" s="5"/>
      <c r="C33" s="6"/>
      <c r="D33" s="201" t="s">
        <v>39</v>
      </c>
      <c r="E33" s="201"/>
      <c r="F33" s="201"/>
      <c r="G33" s="201"/>
      <c r="H33" s="13" t="s">
        <v>4</v>
      </c>
      <c r="I33" s="200" t="s">
        <v>29</v>
      </c>
      <c r="J33" s="200"/>
      <c r="K33" s="200"/>
      <c r="L33" s="200"/>
      <c r="M33" s="200"/>
      <c r="N33" s="200"/>
      <c r="O33" s="6"/>
      <c r="P33" s="6"/>
      <c r="Q33" s="6"/>
      <c r="R33" s="201" t="s">
        <v>26</v>
      </c>
      <c r="S33" s="201"/>
      <c r="T33" s="201"/>
      <c r="U33" s="201"/>
      <c r="V33" s="13" t="s">
        <v>4</v>
      </c>
      <c r="W33" s="200" t="s">
        <v>29</v>
      </c>
      <c r="X33" s="200"/>
      <c r="Y33" s="200"/>
      <c r="Z33" s="200"/>
      <c r="AA33" s="200"/>
      <c r="AB33" s="200"/>
      <c r="AC33" s="6"/>
      <c r="AD33" s="7"/>
    </row>
    <row r="34" spans="2:30">
      <c r="B34" s="5"/>
      <c r="C34" s="6"/>
      <c r="D34" s="201" t="s">
        <v>40</v>
      </c>
      <c r="E34" s="201"/>
      <c r="F34" s="201"/>
      <c r="G34" s="201"/>
      <c r="H34" s="13" t="s">
        <v>4</v>
      </c>
      <c r="I34" s="200" t="s">
        <v>29</v>
      </c>
      <c r="J34" s="200"/>
      <c r="K34" s="200"/>
      <c r="L34" s="200"/>
      <c r="M34" s="200"/>
      <c r="N34" s="200"/>
      <c r="O34" s="6"/>
      <c r="P34" s="6"/>
      <c r="Q34" s="6"/>
      <c r="R34" s="201" t="s">
        <v>27</v>
      </c>
      <c r="S34" s="201"/>
      <c r="T34" s="201"/>
      <c r="U34" s="201"/>
      <c r="V34" s="13" t="s">
        <v>4</v>
      </c>
      <c r="W34" s="200" t="s">
        <v>29</v>
      </c>
      <c r="X34" s="200"/>
      <c r="Y34" s="200"/>
      <c r="Z34" s="200"/>
      <c r="AA34" s="200"/>
      <c r="AB34" s="200"/>
      <c r="AC34" s="6"/>
      <c r="AD34" s="7"/>
    </row>
    <row r="35" spans="2:30">
      <c r="B35" s="5"/>
      <c r="C35" s="6"/>
      <c r="D35" s="197" t="s">
        <v>41</v>
      </c>
      <c r="E35" s="198"/>
      <c r="F35" s="198"/>
      <c r="G35" s="199"/>
      <c r="H35" s="13" t="s">
        <v>4</v>
      </c>
      <c r="I35" s="200" t="s">
        <v>29</v>
      </c>
      <c r="J35" s="200"/>
      <c r="K35" s="200"/>
      <c r="L35" s="200"/>
      <c r="M35" s="200"/>
      <c r="N35" s="200"/>
      <c r="O35" s="6"/>
      <c r="P35" s="6"/>
      <c r="Q35" s="6"/>
      <c r="R35" s="197" t="s">
        <v>28</v>
      </c>
      <c r="S35" s="198"/>
      <c r="T35" s="198"/>
      <c r="U35" s="199"/>
      <c r="V35" s="13" t="s">
        <v>4</v>
      </c>
      <c r="W35" s="200" t="s">
        <v>29</v>
      </c>
      <c r="X35" s="200"/>
      <c r="Y35" s="200"/>
      <c r="Z35" s="200"/>
      <c r="AA35" s="200"/>
      <c r="AB35" s="200"/>
      <c r="AC35" s="6"/>
      <c r="AD35" s="7"/>
    </row>
    <row r="36" spans="2:30">
      <c r="B36" s="5"/>
      <c r="C36" s="6"/>
      <c r="D36" s="201" t="s">
        <v>16</v>
      </c>
      <c r="E36" s="201"/>
      <c r="F36" s="201"/>
      <c r="G36" s="201"/>
      <c r="H36" s="13" t="s">
        <v>4</v>
      </c>
      <c r="I36" s="200" t="s">
        <v>285</v>
      </c>
      <c r="J36" s="200"/>
      <c r="K36" s="200"/>
      <c r="L36" s="200"/>
      <c r="M36" s="200"/>
      <c r="N36" s="200"/>
      <c r="R36" s="201" t="s">
        <v>16</v>
      </c>
      <c r="S36" s="201"/>
      <c r="T36" s="201"/>
      <c r="U36" s="201"/>
      <c r="V36" s="13" t="s">
        <v>4</v>
      </c>
      <c r="W36" s="200" t="s">
        <v>31</v>
      </c>
      <c r="X36" s="200"/>
      <c r="Y36" s="200"/>
      <c r="Z36" s="200"/>
      <c r="AA36" s="200"/>
      <c r="AB36" s="200"/>
      <c r="AC36" s="6"/>
      <c r="AD36" s="7"/>
    </row>
    <row r="37" spans="2:30">
      <c r="B37" s="5"/>
      <c r="C37" s="6"/>
      <c r="AC37" s="6"/>
      <c r="AD37" s="7"/>
    </row>
    <row r="38" spans="2:30">
      <c r="B38" s="5"/>
      <c r="C38" s="6"/>
      <c r="D38" s="16" t="s">
        <v>34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6" t="s">
        <v>25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7"/>
    </row>
    <row r="39" spans="2:30">
      <c r="B39" s="5"/>
      <c r="C39" s="6"/>
      <c r="D39" s="197" t="s">
        <v>10</v>
      </c>
      <c r="E39" s="198"/>
      <c r="F39" s="198"/>
      <c r="G39" s="199"/>
      <c r="H39" s="13" t="s">
        <v>4</v>
      </c>
      <c r="I39" s="202" t="s">
        <v>353</v>
      </c>
      <c r="J39" s="203"/>
      <c r="K39" s="203"/>
      <c r="L39" s="203"/>
      <c r="M39" s="203"/>
      <c r="N39" s="204"/>
      <c r="O39" s="6"/>
      <c r="P39" s="6"/>
      <c r="Q39" s="6"/>
      <c r="R39" s="197" t="s">
        <v>10</v>
      </c>
      <c r="S39" s="198"/>
      <c r="T39" s="198"/>
      <c r="U39" s="199"/>
      <c r="V39" s="13" t="s">
        <v>4</v>
      </c>
      <c r="W39" s="202" t="s">
        <v>353</v>
      </c>
      <c r="X39" s="203"/>
      <c r="Y39" s="203"/>
      <c r="Z39" s="203"/>
      <c r="AA39" s="203"/>
      <c r="AB39" s="204"/>
      <c r="AC39" s="6"/>
      <c r="AD39" s="7"/>
    </row>
    <row r="40" spans="2:30">
      <c r="B40" s="5"/>
      <c r="C40" s="6"/>
      <c r="D40" s="197" t="s">
        <v>12</v>
      </c>
      <c r="E40" s="198"/>
      <c r="F40" s="198"/>
      <c r="G40" s="199"/>
      <c r="H40" s="13" t="s">
        <v>4</v>
      </c>
      <c r="I40" s="202" t="s">
        <v>354</v>
      </c>
      <c r="J40" s="203"/>
      <c r="K40" s="203"/>
      <c r="L40" s="203"/>
      <c r="M40" s="203"/>
      <c r="N40" s="204"/>
      <c r="O40" s="6"/>
      <c r="P40" s="6"/>
      <c r="Q40" s="6"/>
      <c r="R40" s="201" t="s">
        <v>12</v>
      </c>
      <c r="S40" s="201"/>
      <c r="T40" s="201"/>
      <c r="U40" s="201"/>
      <c r="V40" s="13" t="s">
        <v>4</v>
      </c>
      <c r="W40" s="200" t="s">
        <v>355</v>
      </c>
      <c r="X40" s="200"/>
      <c r="Y40" s="200"/>
      <c r="Z40" s="200"/>
      <c r="AA40" s="200"/>
      <c r="AB40" s="200"/>
      <c r="AC40" s="6"/>
      <c r="AD40" s="7"/>
    </row>
    <row r="41" spans="2:30">
      <c r="B41" s="5"/>
      <c r="C41" s="6"/>
      <c r="D41" s="197" t="s">
        <v>13</v>
      </c>
      <c r="E41" s="198"/>
      <c r="F41" s="198"/>
      <c r="G41" s="199"/>
      <c r="H41" s="13" t="s">
        <v>4</v>
      </c>
      <c r="I41" s="202" t="s">
        <v>370</v>
      </c>
      <c r="J41" s="203"/>
      <c r="K41" s="203"/>
      <c r="L41" s="203"/>
      <c r="M41" s="203"/>
      <c r="N41" s="204"/>
      <c r="O41" s="6"/>
      <c r="P41" s="6"/>
      <c r="Q41" s="6"/>
      <c r="R41" s="201" t="s">
        <v>13</v>
      </c>
      <c r="S41" s="201"/>
      <c r="T41" s="201"/>
      <c r="U41" s="201"/>
      <c r="V41" s="13" t="s">
        <v>4</v>
      </c>
      <c r="W41" s="200" t="s">
        <v>371</v>
      </c>
      <c r="X41" s="200"/>
      <c r="Y41" s="200"/>
      <c r="Z41" s="200"/>
      <c r="AA41" s="200"/>
      <c r="AB41" s="200"/>
      <c r="AC41" s="6"/>
      <c r="AD41" s="7"/>
    </row>
    <row r="42" spans="2:30">
      <c r="B42" s="5"/>
      <c r="C42" s="6"/>
      <c r="D42" s="197" t="s">
        <v>14</v>
      </c>
      <c r="E42" s="198"/>
      <c r="F42" s="198"/>
      <c r="G42" s="199"/>
      <c r="H42" s="13" t="s">
        <v>4</v>
      </c>
      <c r="I42" s="202">
        <v>2025</v>
      </c>
      <c r="J42" s="203"/>
      <c r="K42" s="203"/>
      <c r="L42" s="203"/>
      <c r="M42" s="203"/>
      <c r="N42" s="204"/>
      <c r="O42" s="6"/>
      <c r="P42" s="6"/>
      <c r="Q42" s="6"/>
      <c r="R42" s="201" t="s">
        <v>14</v>
      </c>
      <c r="S42" s="201"/>
      <c r="T42" s="201"/>
      <c r="U42" s="201"/>
      <c r="V42" s="13" t="s">
        <v>4</v>
      </c>
      <c r="W42" s="200">
        <v>2025</v>
      </c>
      <c r="X42" s="200"/>
      <c r="Y42" s="200"/>
      <c r="Z42" s="200"/>
      <c r="AA42" s="200"/>
      <c r="AB42" s="200"/>
      <c r="AC42" s="6"/>
      <c r="AD42" s="7"/>
    </row>
    <row r="43" spans="2:30">
      <c r="B43" s="5"/>
      <c r="C43" s="6"/>
      <c r="D43" s="197" t="s">
        <v>15</v>
      </c>
      <c r="E43" s="198"/>
      <c r="F43" s="198"/>
      <c r="G43" s="199"/>
      <c r="H43" s="13" t="s">
        <v>4</v>
      </c>
      <c r="I43" s="202" t="s">
        <v>44</v>
      </c>
      <c r="J43" s="203"/>
      <c r="K43" s="203"/>
      <c r="L43" s="203"/>
      <c r="M43" s="203"/>
      <c r="N43" s="204"/>
      <c r="O43" s="6"/>
      <c r="P43" s="6"/>
      <c r="Q43" s="6"/>
      <c r="R43" s="201" t="s">
        <v>15</v>
      </c>
      <c r="S43" s="201"/>
      <c r="T43" s="201"/>
      <c r="U43" s="201"/>
      <c r="V43" s="13" t="s">
        <v>4</v>
      </c>
      <c r="W43" s="200" t="s">
        <v>29</v>
      </c>
      <c r="X43" s="200"/>
      <c r="Y43" s="200"/>
      <c r="Z43" s="200"/>
      <c r="AA43" s="200"/>
      <c r="AB43" s="200"/>
      <c r="AC43" s="6"/>
      <c r="AD43" s="7"/>
    </row>
    <row r="44" spans="2:30">
      <c r="B44" s="5"/>
      <c r="C44" s="6"/>
      <c r="D44" s="197" t="s">
        <v>16</v>
      </c>
      <c r="E44" s="198"/>
      <c r="F44" s="198"/>
      <c r="G44" s="199"/>
      <c r="H44" s="13" t="s">
        <v>4</v>
      </c>
      <c r="I44" s="202" t="s">
        <v>31</v>
      </c>
      <c r="J44" s="203"/>
      <c r="K44" s="203"/>
      <c r="L44" s="203"/>
      <c r="M44" s="203"/>
      <c r="N44" s="204"/>
      <c r="O44" s="6"/>
      <c r="P44" s="6"/>
      <c r="Q44" s="6"/>
      <c r="R44" s="201" t="s">
        <v>16</v>
      </c>
      <c r="S44" s="201"/>
      <c r="T44" s="201"/>
      <c r="U44" s="201"/>
      <c r="V44" s="13" t="s">
        <v>4</v>
      </c>
      <c r="W44" s="200" t="s">
        <v>31</v>
      </c>
      <c r="X44" s="200"/>
      <c r="Y44" s="200"/>
      <c r="Z44" s="200"/>
      <c r="AA44" s="200"/>
      <c r="AB44" s="200"/>
      <c r="AC44" s="6"/>
      <c r="AD44" s="7"/>
    </row>
    <row r="45" spans="2:30">
      <c r="B45" s="5"/>
      <c r="C45" s="6"/>
      <c r="AC45" s="6"/>
      <c r="AD45" s="7"/>
    </row>
    <row r="46" spans="2:30">
      <c r="B46" s="5"/>
      <c r="K46" s="16" t="s">
        <v>42</v>
      </c>
      <c r="L46" s="6"/>
      <c r="M46" s="6"/>
      <c r="N46" s="6"/>
      <c r="O46" s="6"/>
      <c r="P46" s="6"/>
      <c r="Q46" s="6"/>
      <c r="R46" s="6"/>
      <c r="S46" s="6"/>
      <c r="T46" s="6"/>
      <c r="U46" s="6"/>
      <c r="AD46" s="7"/>
    </row>
    <row r="47" spans="2:30">
      <c r="B47" s="5"/>
      <c r="K47" s="197" t="s">
        <v>10</v>
      </c>
      <c r="L47" s="198"/>
      <c r="M47" s="198"/>
      <c r="N47" s="199"/>
      <c r="O47" s="13" t="s">
        <v>4</v>
      </c>
      <c r="P47" s="202" t="s">
        <v>11</v>
      </c>
      <c r="Q47" s="203"/>
      <c r="R47" s="203"/>
      <c r="S47" s="203"/>
      <c r="T47" s="203"/>
      <c r="U47" s="204"/>
      <c r="AD47" s="7"/>
    </row>
    <row r="48" spans="2:30">
      <c r="B48" s="5"/>
      <c r="K48" s="197" t="s">
        <v>12</v>
      </c>
      <c r="L48" s="198"/>
      <c r="M48" s="198"/>
      <c r="N48" s="199"/>
      <c r="O48" s="13" t="s">
        <v>4</v>
      </c>
      <c r="P48" s="202" t="s">
        <v>356</v>
      </c>
      <c r="Q48" s="203"/>
      <c r="R48" s="203"/>
      <c r="S48" s="203"/>
      <c r="T48" s="203"/>
      <c r="U48" s="204"/>
      <c r="AD48" s="7"/>
    </row>
    <row r="49" spans="2:30">
      <c r="B49" s="5"/>
      <c r="K49" s="197" t="s">
        <v>13</v>
      </c>
      <c r="L49" s="198"/>
      <c r="M49" s="198"/>
      <c r="N49" s="199"/>
      <c r="O49" s="13" t="s">
        <v>4</v>
      </c>
      <c r="P49" s="202" t="s">
        <v>375</v>
      </c>
      <c r="Q49" s="203"/>
      <c r="R49" s="203"/>
      <c r="S49" s="203"/>
      <c r="T49" s="203"/>
      <c r="U49" s="204"/>
      <c r="AD49" s="7"/>
    </row>
    <row r="50" spans="2:30">
      <c r="B50" s="5"/>
      <c r="K50" s="197" t="s">
        <v>14</v>
      </c>
      <c r="L50" s="198"/>
      <c r="M50" s="198"/>
      <c r="N50" s="199"/>
      <c r="O50" s="13" t="s">
        <v>4</v>
      </c>
      <c r="P50" s="202">
        <v>2025</v>
      </c>
      <c r="Q50" s="203"/>
      <c r="R50" s="203"/>
      <c r="S50" s="203"/>
      <c r="T50" s="203"/>
      <c r="U50" s="204"/>
      <c r="AD50" s="7"/>
    </row>
    <row r="51" spans="2:30">
      <c r="B51" s="5"/>
      <c r="K51" s="197" t="s">
        <v>45</v>
      </c>
      <c r="L51" s="198"/>
      <c r="M51" s="198"/>
      <c r="N51" s="199"/>
      <c r="O51" s="13" t="s">
        <v>4</v>
      </c>
      <c r="P51" s="202" t="s">
        <v>32</v>
      </c>
      <c r="Q51" s="203"/>
      <c r="R51" s="203"/>
      <c r="S51" s="203"/>
      <c r="T51" s="203"/>
      <c r="U51" s="204"/>
      <c r="AD51" s="7"/>
    </row>
    <row r="52" spans="2:30">
      <c r="B52" s="5"/>
      <c r="K52" s="197" t="s">
        <v>16</v>
      </c>
      <c r="L52" s="198"/>
      <c r="M52" s="198"/>
      <c r="N52" s="199"/>
      <c r="O52" s="13" t="s">
        <v>4</v>
      </c>
      <c r="P52" s="202" t="s">
        <v>46</v>
      </c>
      <c r="Q52" s="203"/>
      <c r="R52" s="203"/>
      <c r="S52" s="203"/>
      <c r="T52" s="203"/>
      <c r="U52" s="204"/>
      <c r="AD52" s="7"/>
    </row>
    <row r="53" spans="2:30">
      <c r="B53" s="5"/>
      <c r="C53" s="6"/>
      <c r="O53" s="6"/>
      <c r="P53" s="6"/>
      <c r="Q53" s="6"/>
      <c r="AC53" s="6"/>
      <c r="AD53" s="7"/>
    </row>
    <row r="54" spans="2:30">
      <c r="B54" s="5"/>
      <c r="C54" s="6"/>
      <c r="D54" s="6"/>
      <c r="E54" s="6"/>
      <c r="F54" s="6"/>
      <c r="G54" s="6"/>
      <c r="H54" s="9" t="s">
        <v>17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7"/>
    </row>
    <row r="55" spans="2:30">
      <c r="B55" s="5"/>
      <c r="C55" s="6"/>
      <c r="D55" s="6"/>
      <c r="E55" s="6"/>
      <c r="F55" s="6"/>
      <c r="G55" s="6"/>
      <c r="H55" s="217" t="s">
        <v>18</v>
      </c>
      <c r="I55" s="217"/>
      <c r="J55" s="217"/>
      <c r="K55" s="217"/>
      <c r="L55" s="217"/>
      <c r="M55" s="217"/>
      <c r="N55" s="217"/>
      <c r="O55" s="218">
        <v>6</v>
      </c>
      <c r="P55" s="218"/>
      <c r="Q55" s="218"/>
      <c r="R55" s="218"/>
      <c r="S55" s="218"/>
      <c r="T55" s="218"/>
      <c r="U55" s="218"/>
      <c r="V55" s="6"/>
      <c r="W55" s="6"/>
      <c r="X55" s="6"/>
      <c r="Y55" s="6"/>
      <c r="Z55" s="6"/>
      <c r="AA55" s="6"/>
      <c r="AB55" s="6"/>
      <c r="AC55" s="6"/>
      <c r="AD55" s="7"/>
    </row>
    <row r="56" spans="2:30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7"/>
    </row>
    <row r="57" spans="2:30">
      <c r="B57" s="5"/>
      <c r="C57" s="6"/>
      <c r="D57" s="6"/>
      <c r="E57" s="6"/>
      <c r="F57" s="6"/>
      <c r="G57" s="6"/>
      <c r="H57" s="6"/>
      <c r="I57" s="9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7"/>
    </row>
    <row r="58" spans="2:30">
      <c r="B58" s="5"/>
      <c r="C58" s="219" t="s">
        <v>19</v>
      </c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20" t="s">
        <v>20</v>
      </c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2"/>
      <c r="AD58" s="7"/>
    </row>
    <row r="59" spans="2:30">
      <c r="B59" s="5"/>
      <c r="C59" s="14">
        <v>1</v>
      </c>
      <c r="D59" s="213" t="s">
        <v>21</v>
      </c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05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7"/>
      <c r="AD59" s="7"/>
    </row>
    <row r="60" spans="2:30">
      <c r="B60" s="5"/>
      <c r="C60" s="14">
        <v>2</v>
      </c>
      <c r="D60" s="204" t="s">
        <v>286</v>
      </c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8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10"/>
      <c r="AD60" s="7"/>
    </row>
    <row r="61" spans="2:30">
      <c r="B61" s="5"/>
      <c r="C61" s="14">
        <v>3</v>
      </c>
      <c r="D61" s="204" t="s">
        <v>43</v>
      </c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8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10"/>
      <c r="AD61" s="7"/>
    </row>
    <row r="62" spans="2:30">
      <c r="B62" s="5"/>
      <c r="C62" s="14">
        <v>4</v>
      </c>
      <c r="D62" s="204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11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3"/>
      <c r="AD62" s="7"/>
    </row>
    <row r="63" spans="2:30">
      <c r="B63" s="5"/>
      <c r="C63" s="14">
        <v>5</v>
      </c>
      <c r="D63" s="204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2" t="s">
        <v>341</v>
      </c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4"/>
      <c r="AD63" s="7"/>
    </row>
    <row r="64" spans="2:30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7"/>
    </row>
    <row r="65" spans="2:30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7"/>
    </row>
    <row r="66" spans="2:30">
      <c r="B66" s="5"/>
      <c r="C66" s="6"/>
      <c r="D66" s="6"/>
      <c r="E66" s="9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7"/>
    </row>
    <row r="67" spans="2:30">
      <c r="B67" s="5"/>
      <c r="C67" s="6"/>
      <c r="D67" s="6"/>
      <c r="E67" s="9" t="s">
        <v>23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7"/>
    </row>
    <row r="68" spans="2:30">
      <c r="B68" s="5"/>
      <c r="C68" s="6"/>
      <c r="D68" s="6"/>
      <c r="E68" s="9" t="s">
        <v>24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7"/>
    </row>
    <row r="69" spans="2:30" ht="15.75" thickBot="1"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</row>
  </sheetData>
  <mergeCells count="134">
    <mergeCell ref="D63:K63"/>
    <mergeCell ref="L63:O63"/>
    <mergeCell ref="D59:K59"/>
    <mergeCell ref="L59:O59"/>
    <mergeCell ref="D60:K60"/>
    <mergeCell ref="L60:O60"/>
    <mergeCell ref="D61:K61"/>
    <mergeCell ref="L61:O61"/>
    <mergeCell ref="D62:K62"/>
    <mergeCell ref="L62:O62"/>
    <mergeCell ref="H55:N55"/>
    <mergeCell ref="O55:U55"/>
    <mergeCell ref="C58:O58"/>
    <mergeCell ref="P58:AC58"/>
    <mergeCell ref="I10:K10"/>
    <mergeCell ref="M10:W10"/>
    <mergeCell ref="I11:K11"/>
    <mergeCell ref="M11:W11"/>
    <mergeCell ref="I12:K12"/>
    <mergeCell ref="M12:W12"/>
    <mergeCell ref="I13:K13"/>
    <mergeCell ref="M13:W13"/>
    <mergeCell ref="D18:G18"/>
    <mergeCell ref="D19:G19"/>
    <mergeCell ref="D39:G39"/>
    <mergeCell ref="I39:N39"/>
    <mergeCell ref="I19:N19"/>
    <mergeCell ref="D40:G40"/>
    <mergeCell ref="I40:N40"/>
    <mergeCell ref="W18:AB18"/>
    <mergeCell ref="W19:AB19"/>
    <mergeCell ref="D29:G29"/>
    <mergeCell ref="I29:N29"/>
    <mergeCell ref="D20:G20"/>
    <mergeCell ref="I20:N20"/>
    <mergeCell ref="D21:G21"/>
    <mergeCell ref="I21:N21"/>
    <mergeCell ref="W20:AB20"/>
    <mergeCell ref="W21:AB21"/>
    <mergeCell ref="C4:AC4"/>
    <mergeCell ref="C5:AC5"/>
    <mergeCell ref="C6:AC6"/>
    <mergeCell ref="C7:AC7"/>
    <mergeCell ref="I14:K14"/>
    <mergeCell ref="M14:W14"/>
    <mergeCell ref="I18:N18"/>
    <mergeCell ref="D24:G24"/>
    <mergeCell ref="I24:N24"/>
    <mergeCell ref="D25:G25"/>
    <mergeCell ref="I25:N25"/>
    <mergeCell ref="D26:G26"/>
    <mergeCell ref="I26:N26"/>
    <mergeCell ref="D22:G22"/>
    <mergeCell ref="I22:N22"/>
    <mergeCell ref="D23:G23"/>
    <mergeCell ref="I23:N23"/>
    <mergeCell ref="D42:G42"/>
    <mergeCell ref="I41:N41"/>
    <mergeCell ref="D41:G41"/>
    <mergeCell ref="I44:N44"/>
    <mergeCell ref="P52:U52"/>
    <mergeCell ref="P51:U51"/>
    <mergeCell ref="K52:N52"/>
    <mergeCell ref="R44:U44"/>
    <mergeCell ref="W44:AB44"/>
    <mergeCell ref="D44:G44"/>
    <mergeCell ref="I43:N43"/>
    <mergeCell ref="D43:G43"/>
    <mergeCell ref="P50:U50"/>
    <mergeCell ref="P49:U49"/>
    <mergeCell ref="P48:U48"/>
    <mergeCell ref="P47:U47"/>
    <mergeCell ref="R42:U42"/>
    <mergeCell ref="W42:AB42"/>
    <mergeCell ref="R43:U43"/>
    <mergeCell ref="W43:AB43"/>
    <mergeCell ref="R41:U41"/>
    <mergeCell ref="W41:AB41"/>
    <mergeCell ref="K51:N51"/>
    <mergeCell ref="K50:N50"/>
    <mergeCell ref="P63:AC63"/>
    <mergeCell ref="P59:AC62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39:U39"/>
    <mergeCell ref="W39:AB39"/>
    <mergeCell ref="R40:U40"/>
    <mergeCell ref="W40:AB40"/>
    <mergeCell ref="W22:AB22"/>
    <mergeCell ref="W23:AB23"/>
    <mergeCell ref="W24:AB24"/>
    <mergeCell ref="W25:AB25"/>
    <mergeCell ref="W26:AB26"/>
    <mergeCell ref="W29:AB29"/>
    <mergeCell ref="R30:U30"/>
    <mergeCell ref="W30:AB30"/>
    <mergeCell ref="R31:U31"/>
    <mergeCell ref="W31:AB31"/>
    <mergeCell ref="D36:G36"/>
    <mergeCell ref="I36:N36"/>
    <mergeCell ref="R29:U29"/>
    <mergeCell ref="R32:U32"/>
    <mergeCell ref="R35:U35"/>
    <mergeCell ref="D33:G33"/>
    <mergeCell ref="I33:N33"/>
    <mergeCell ref="D34:G34"/>
    <mergeCell ref="I34:N34"/>
    <mergeCell ref="D35:G35"/>
    <mergeCell ref="I35:N35"/>
    <mergeCell ref="D30:G30"/>
    <mergeCell ref="I30:N30"/>
    <mergeCell ref="D31:G31"/>
    <mergeCell ref="I31:N31"/>
    <mergeCell ref="D32:G32"/>
    <mergeCell ref="I32:N32"/>
    <mergeCell ref="K49:N49"/>
    <mergeCell ref="K48:N48"/>
    <mergeCell ref="K47:N47"/>
    <mergeCell ref="W35:AB35"/>
    <mergeCell ref="R36:U36"/>
    <mergeCell ref="W36:AB36"/>
    <mergeCell ref="W32:AB32"/>
    <mergeCell ref="R33:U33"/>
    <mergeCell ref="W33:AB33"/>
    <mergeCell ref="R34:U34"/>
    <mergeCell ref="W34:AB34"/>
    <mergeCell ref="I42:N42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30CA-B030-4D93-9CFA-3AEA26F594C6}">
  <dimension ref="B1:AJ125"/>
  <sheetViews>
    <sheetView tabSelected="1" view="pageBreakPreview" zoomScale="90" zoomScaleNormal="100" zoomScaleSheetLayoutView="90" workbookViewId="0">
      <selection activeCell="AD82" sqref="AD82"/>
    </sheetView>
  </sheetViews>
  <sheetFormatPr defaultColWidth="8.85546875" defaultRowHeight="16.899999999999999" customHeight="1"/>
  <cols>
    <col min="1" max="1" width="4.28515625" style="17" customWidth="1"/>
    <col min="2" max="110" width="3.7109375" style="17" customWidth="1"/>
    <col min="111" max="16384" width="8.85546875" style="17"/>
  </cols>
  <sheetData>
    <row r="1" spans="2:36" ht="16.899999999999999" customHeight="1" thickBot="1"/>
    <row r="2" spans="2:36" ht="16.899999999999999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6" ht="16.899999999999999" customHeight="1">
      <c r="B3" s="21"/>
      <c r="C3" s="22"/>
      <c r="D3" s="23"/>
      <c r="E3" s="24" t="s">
        <v>47</v>
      </c>
      <c r="F3" s="24"/>
      <c r="G3" s="2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5"/>
      <c r="AG3" s="26"/>
    </row>
    <row r="4" spans="2:36" ht="16.899999999999999" customHeight="1">
      <c r="B4" s="21"/>
      <c r="C4" s="27"/>
      <c r="E4" s="224" t="s">
        <v>3</v>
      </c>
      <c r="F4" s="224"/>
      <c r="G4" s="29" t="s">
        <v>4</v>
      </c>
      <c r="H4" s="225" t="s">
        <v>5</v>
      </c>
      <c r="I4" s="225"/>
      <c r="J4" s="225"/>
      <c r="K4" s="225"/>
      <c r="L4" s="225"/>
      <c r="M4" s="225"/>
      <c r="N4" s="225"/>
      <c r="O4" s="225"/>
      <c r="P4" s="225"/>
      <c r="Q4" s="225"/>
      <c r="AF4" s="30"/>
      <c r="AG4" s="26"/>
    </row>
    <row r="5" spans="2:36" ht="16.899999999999999" customHeight="1">
      <c r="B5" s="21"/>
      <c r="C5" s="31"/>
      <c r="D5" s="32"/>
      <c r="E5" s="226" t="s">
        <v>48</v>
      </c>
      <c r="F5" s="226"/>
      <c r="G5" s="33" t="s">
        <v>4</v>
      </c>
      <c r="H5" s="227" t="s">
        <v>5</v>
      </c>
      <c r="I5" s="227"/>
      <c r="J5" s="227"/>
      <c r="K5" s="227"/>
      <c r="L5" s="227"/>
      <c r="M5" s="227"/>
      <c r="N5" s="227"/>
      <c r="O5" s="227"/>
      <c r="P5" s="227"/>
      <c r="Q5" s="227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4"/>
      <c r="AG5" s="26"/>
    </row>
    <row r="6" spans="2:36" ht="16.899999999999999" customHeight="1">
      <c r="B6" s="21"/>
      <c r="AG6" s="26"/>
    </row>
    <row r="7" spans="2:36" ht="16.899999999999999" customHeight="1">
      <c r="B7" s="21"/>
      <c r="C7" s="29" t="s">
        <v>49</v>
      </c>
      <c r="D7" s="29"/>
      <c r="E7" s="29" t="s">
        <v>50</v>
      </c>
      <c r="AG7" s="26"/>
      <c r="AJ7"/>
    </row>
    <row r="8" spans="2:36" ht="16.899999999999999" customHeight="1" thickBot="1">
      <c r="B8" s="21"/>
      <c r="AG8" s="26"/>
    </row>
    <row r="9" spans="2:36" ht="37.15" customHeight="1" thickBot="1">
      <c r="B9" s="21"/>
      <c r="E9" s="228" t="s">
        <v>51</v>
      </c>
      <c r="F9" s="229"/>
      <c r="G9" s="230" t="s">
        <v>52</v>
      </c>
      <c r="H9" s="230"/>
      <c r="I9" s="230"/>
      <c r="J9" s="231" t="s">
        <v>53</v>
      </c>
      <c r="K9" s="231"/>
      <c r="L9" s="231"/>
      <c r="M9" s="231"/>
      <c r="N9" s="231" t="s">
        <v>54</v>
      </c>
      <c r="O9" s="231"/>
      <c r="P9" s="231"/>
      <c r="Q9" s="232"/>
      <c r="R9" s="233" t="s">
        <v>55</v>
      </c>
      <c r="S9" s="233"/>
      <c r="T9" s="233"/>
      <c r="U9" s="233"/>
      <c r="V9" s="233" t="s">
        <v>56</v>
      </c>
      <c r="W9" s="233"/>
      <c r="X9" s="233"/>
      <c r="Y9" s="233"/>
      <c r="Z9" s="234" t="s">
        <v>57</v>
      </c>
      <c r="AA9" s="231"/>
      <c r="AB9" s="231"/>
      <c r="AC9" s="231"/>
      <c r="AD9" s="231"/>
      <c r="AE9" s="231"/>
      <c r="AF9" s="235"/>
      <c r="AG9" s="26"/>
    </row>
    <row r="10" spans="2:36" ht="16.899999999999999" customHeight="1">
      <c r="B10" s="21"/>
      <c r="E10" s="236">
        <v>1</v>
      </c>
      <c r="F10" s="237"/>
      <c r="G10" s="237" t="s">
        <v>58</v>
      </c>
      <c r="H10" s="237"/>
      <c r="I10" s="238"/>
      <c r="J10" s="239">
        <v>0.17299999999999999</v>
      </c>
      <c r="K10" s="239"/>
      <c r="L10" s="239"/>
      <c r="M10" s="239"/>
      <c r="N10" s="239">
        <v>0.17199999999999999</v>
      </c>
      <c r="O10" s="239"/>
      <c r="P10" s="239"/>
      <c r="Q10" s="239"/>
      <c r="R10" s="240">
        <f>IFERROR(((N10-J10)/J10),0)</f>
        <v>-5.7803468208092543E-3</v>
      </c>
      <c r="S10" s="240"/>
      <c r="T10" s="240"/>
      <c r="U10" s="240"/>
      <c r="V10" s="237"/>
      <c r="W10" s="237"/>
      <c r="X10" s="237"/>
      <c r="Y10" s="237"/>
      <c r="Z10" s="241" t="s">
        <v>59</v>
      </c>
      <c r="AA10" s="239"/>
      <c r="AB10" s="239"/>
      <c r="AC10" s="239"/>
      <c r="AD10" s="239"/>
      <c r="AE10" s="239"/>
      <c r="AF10" s="242"/>
      <c r="AG10" s="26"/>
    </row>
    <row r="11" spans="2:36" ht="16.899999999999999" customHeight="1">
      <c r="B11" s="21"/>
      <c r="E11" s="246">
        <v>2</v>
      </c>
      <c r="F11" s="247"/>
      <c r="G11" s="247" t="s">
        <v>60</v>
      </c>
      <c r="H11" s="247"/>
      <c r="I11" s="248"/>
      <c r="J11" s="244">
        <v>0.17299999999999999</v>
      </c>
      <c r="K11" s="244"/>
      <c r="L11" s="244"/>
      <c r="M11" s="244"/>
      <c r="N11" s="244">
        <v>0.17199999999999999</v>
      </c>
      <c r="O11" s="244"/>
      <c r="P11" s="244"/>
      <c r="Q11" s="244"/>
      <c r="R11" s="249">
        <f t="shared" ref="R11:R13" si="0">IFERROR(((N11-J11)/J11),0)</f>
        <v>-5.7803468208092543E-3</v>
      </c>
      <c r="S11" s="249"/>
      <c r="T11" s="249"/>
      <c r="U11" s="249"/>
      <c r="V11" s="247"/>
      <c r="W11" s="247"/>
      <c r="X11" s="247"/>
      <c r="Y11" s="247"/>
      <c r="Z11" s="243" t="s">
        <v>61</v>
      </c>
      <c r="AA11" s="244"/>
      <c r="AB11" s="244"/>
      <c r="AC11" s="244"/>
      <c r="AD11" s="244"/>
      <c r="AE11" s="244"/>
      <c r="AF11" s="245"/>
      <c r="AG11" s="26"/>
    </row>
    <row r="12" spans="2:36" ht="16.899999999999999" customHeight="1">
      <c r="B12" s="21"/>
      <c r="E12" s="246">
        <v>3</v>
      </c>
      <c r="F12" s="247"/>
      <c r="G12" s="247" t="s">
        <v>62</v>
      </c>
      <c r="H12" s="247"/>
      <c r="I12" s="248"/>
      <c r="J12" s="244">
        <v>0.17299999999999999</v>
      </c>
      <c r="K12" s="244"/>
      <c r="L12" s="244"/>
      <c r="M12" s="244"/>
      <c r="N12" s="244">
        <v>0.17199999999999999</v>
      </c>
      <c r="O12" s="244"/>
      <c r="P12" s="244"/>
      <c r="Q12" s="244"/>
      <c r="R12" s="249">
        <f t="shared" si="0"/>
        <v>-5.7803468208092543E-3</v>
      </c>
      <c r="S12" s="249"/>
      <c r="T12" s="249"/>
      <c r="U12" s="249"/>
      <c r="V12" s="247"/>
      <c r="W12" s="247"/>
      <c r="X12" s="247"/>
      <c r="Y12" s="247"/>
      <c r="Z12" s="243" t="s">
        <v>63</v>
      </c>
      <c r="AA12" s="244"/>
      <c r="AB12" s="244"/>
      <c r="AC12" s="244"/>
      <c r="AD12" s="244"/>
      <c r="AE12" s="244"/>
      <c r="AF12" s="245"/>
      <c r="AG12" s="26"/>
    </row>
    <row r="13" spans="2:36" ht="16.899999999999999" customHeight="1" thickBot="1">
      <c r="B13" s="21"/>
      <c r="E13" s="257">
        <v>4</v>
      </c>
      <c r="F13" s="258"/>
      <c r="G13" s="258" t="s">
        <v>64</v>
      </c>
      <c r="H13" s="258"/>
      <c r="I13" s="259"/>
      <c r="J13" s="251">
        <v>0.17299999999999999</v>
      </c>
      <c r="K13" s="251"/>
      <c r="L13" s="251"/>
      <c r="M13" s="251"/>
      <c r="N13" s="251">
        <v>0.17199999999999999</v>
      </c>
      <c r="O13" s="251"/>
      <c r="P13" s="251"/>
      <c r="Q13" s="251"/>
      <c r="R13" s="260">
        <f t="shared" si="0"/>
        <v>-5.7803468208092543E-3</v>
      </c>
      <c r="S13" s="260"/>
      <c r="T13" s="260"/>
      <c r="U13" s="260"/>
      <c r="V13" s="261">
        <f>IF((ABS(R13)&lt;=0.05),9,IF((ABS(R13)&lt;=0.1),6,1))</f>
        <v>9</v>
      </c>
      <c r="W13" s="261"/>
      <c r="X13" s="261">
        <f t="shared" ref="X13" si="1">(P13-J13)/J13</f>
        <v>-1</v>
      </c>
      <c r="Y13" s="261"/>
      <c r="Z13" s="250" t="s">
        <v>65</v>
      </c>
      <c r="AA13" s="251"/>
      <c r="AB13" s="251"/>
      <c r="AC13" s="251"/>
      <c r="AD13" s="251"/>
      <c r="AE13" s="251"/>
      <c r="AF13" s="252"/>
      <c r="AG13" s="26"/>
    </row>
    <row r="14" spans="2:36" ht="16.899999999999999" customHeight="1">
      <c r="B14" s="21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G14" s="26"/>
    </row>
    <row r="15" spans="2:36" ht="16.899999999999999" customHeight="1">
      <c r="B15" s="21"/>
      <c r="E15" s="253" t="s">
        <v>66</v>
      </c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5"/>
      <c r="S15" s="256">
        <f>MIN(V10,V11,V12,V13)</f>
        <v>9</v>
      </c>
      <c r="T15" s="256"/>
      <c r="U15" s="256"/>
      <c r="V15" s="256"/>
      <c r="AG15" s="26"/>
    </row>
    <row r="16" spans="2:36" ht="16.899999999999999" customHeight="1">
      <c r="B16" s="21"/>
      <c r="AG16" s="26"/>
    </row>
    <row r="17" spans="2:36" ht="16.899999999999999" customHeight="1">
      <c r="B17" s="21"/>
      <c r="C17" s="29" t="s">
        <v>67</v>
      </c>
      <c r="D17" s="29"/>
      <c r="E17" s="29" t="s">
        <v>68</v>
      </c>
      <c r="AG17" s="26"/>
      <c r="AJ17"/>
    </row>
    <row r="18" spans="2:36" ht="16.899999999999999" customHeight="1" thickBot="1">
      <c r="B18" s="21"/>
      <c r="AG18" s="26"/>
    </row>
    <row r="19" spans="2:36" ht="37.15" customHeight="1" thickBot="1">
      <c r="B19" s="21"/>
      <c r="E19" s="228" t="s">
        <v>51</v>
      </c>
      <c r="F19" s="229"/>
      <c r="G19" s="230" t="s">
        <v>52</v>
      </c>
      <c r="H19" s="230"/>
      <c r="I19" s="230"/>
      <c r="J19" s="231" t="s">
        <v>69</v>
      </c>
      <c r="K19" s="231"/>
      <c r="L19" s="231"/>
      <c r="M19" s="231"/>
      <c r="N19" s="231" t="s">
        <v>70</v>
      </c>
      <c r="O19" s="231"/>
      <c r="P19" s="231"/>
      <c r="Q19" s="232"/>
      <c r="R19" s="233" t="s">
        <v>55</v>
      </c>
      <c r="S19" s="233"/>
      <c r="T19" s="233"/>
      <c r="U19" s="233"/>
      <c r="V19" s="233" t="s">
        <v>56</v>
      </c>
      <c r="W19" s="233"/>
      <c r="X19" s="233"/>
      <c r="Y19" s="233"/>
      <c r="Z19" s="234" t="s">
        <v>57</v>
      </c>
      <c r="AA19" s="231"/>
      <c r="AB19" s="231"/>
      <c r="AC19" s="231"/>
      <c r="AD19" s="231"/>
      <c r="AE19" s="231"/>
      <c r="AF19" s="235"/>
      <c r="AG19" s="26"/>
    </row>
    <row r="20" spans="2:36" ht="16.899999999999999" customHeight="1" thickBot="1">
      <c r="B20" s="21"/>
      <c r="E20" s="236">
        <v>1</v>
      </c>
      <c r="F20" s="237"/>
      <c r="G20" s="237" t="s">
        <v>58</v>
      </c>
      <c r="H20" s="237"/>
      <c r="I20" s="238"/>
      <c r="J20" s="239">
        <v>0</v>
      </c>
      <c r="K20" s="239"/>
      <c r="L20" s="239"/>
      <c r="M20" s="239"/>
      <c r="N20" s="239">
        <v>0.03</v>
      </c>
      <c r="O20" s="239"/>
      <c r="P20" s="239"/>
      <c r="Q20" s="239"/>
      <c r="R20" s="240">
        <f>ABS(N20)</f>
        <v>0.03</v>
      </c>
      <c r="S20" s="240"/>
      <c r="T20" s="240"/>
      <c r="U20" s="240"/>
      <c r="V20" s="261">
        <f t="shared" ref="V20:V23" si="2">IF((ABS(R20)&lt;=0.05),9,IF((ABS(R20)&lt;=0.1),6,1))</f>
        <v>9</v>
      </c>
      <c r="W20" s="261"/>
      <c r="X20" s="261" t="e">
        <f t="shared" ref="X20:X23" si="3">(P20-J20)/J20</f>
        <v>#DIV/0!</v>
      </c>
      <c r="Y20" s="261"/>
      <c r="Z20" s="241" t="s">
        <v>59</v>
      </c>
      <c r="AA20" s="239"/>
      <c r="AB20" s="239"/>
      <c r="AC20" s="239"/>
      <c r="AD20" s="239"/>
      <c r="AE20" s="239"/>
      <c r="AF20" s="242"/>
      <c r="AG20" s="26"/>
    </row>
    <row r="21" spans="2:36" ht="16.899999999999999" customHeight="1" thickBot="1">
      <c r="B21" s="21"/>
      <c r="E21" s="246">
        <v>2</v>
      </c>
      <c r="F21" s="247"/>
      <c r="G21" s="247" t="s">
        <v>60</v>
      </c>
      <c r="H21" s="247"/>
      <c r="I21" s="248"/>
      <c r="J21" s="244">
        <v>0</v>
      </c>
      <c r="K21" s="244"/>
      <c r="L21" s="244"/>
      <c r="M21" s="244"/>
      <c r="N21" s="244">
        <v>3.1E-2</v>
      </c>
      <c r="O21" s="244"/>
      <c r="P21" s="244"/>
      <c r="Q21" s="244"/>
      <c r="R21" s="249">
        <f t="shared" ref="R21:R23" si="4">ABS(N21)</f>
        <v>3.1E-2</v>
      </c>
      <c r="S21" s="249"/>
      <c r="T21" s="249"/>
      <c r="U21" s="249"/>
      <c r="V21" s="261">
        <f t="shared" si="2"/>
        <v>9</v>
      </c>
      <c r="W21" s="261"/>
      <c r="X21" s="261" t="e">
        <f t="shared" si="3"/>
        <v>#DIV/0!</v>
      </c>
      <c r="Y21" s="261"/>
      <c r="Z21" s="243" t="s">
        <v>61</v>
      </c>
      <c r="AA21" s="244"/>
      <c r="AB21" s="244"/>
      <c r="AC21" s="244"/>
      <c r="AD21" s="244"/>
      <c r="AE21" s="244"/>
      <c r="AF21" s="245"/>
      <c r="AG21" s="26"/>
    </row>
    <row r="22" spans="2:36" ht="16.899999999999999" customHeight="1" thickBot="1">
      <c r="B22" s="21"/>
      <c r="E22" s="246">
        <v>3</v>
      </c>
      <c r="F22" s="247"/>
      <c r="G22" s="247" t="s">
        <v>62</v>
      </c>
      <c r="H22" s="247"/>
      <c r="I22" s="248"/>
      <c r="J22" s="244">
        <v>0</v>
      </c>
      <c r="K22" s="244"/>
      <c r="L22" s="244"/>
      <c r="M22" s="244"/>
      <c r="N22" s="244">
        <v>3.1E-2</v>
      </c>
      <c r="O22" s="244"/>
      <c r="P22" s="244"/>
      <c r="Q22" s="244"/>
      <c r="R22" s="249">
        <f t="shared" si="4"/>
        <v>3.1E-2</v>
      </c>
      <c r="S22" s="249"/>
      <c r="T22" s="249"/>
      <c r="U22" s="249"/>
      <c r="V22" s="261">
        <f t="shared" si="2"/>
        <v>9</v>
      </c>
      <c r="W22" s="261"/>
      <c r="X22" s="261" t="e">
        <f t="shared" si="3"/>
        <v>#DIV/0!</v>
      </c>
      <c r="Y22" s="261"/>
      <c r="Z22" s="243" t="s">
        <v>63</v>
      </c>
      <c r="AA22" s="244"/>
      <c r="AB22" s="244"/>
      <c r="AC22" s="244"/>
      <c r="AD22" s="244"/>
      <c r="AE22" s="244"/>
      <c r="AF22" s="245"/>
      <c r="AG22" s="26"/>
    </row>
    <row r="23" spans="2:36" ht="16.899999999999999" customHeight="1" thickBot="1">
      <c r="B23" s="21"/>
      <c r="E23" s="257">
        <v>4</v>
      </c>
      <c r="F23" s="258"/>
      <c r="G23" s="258" t="s">
        <v>64</v>
      </c>
      <c r="H23" s="258"/>
      <c r="I23" s="259"/>
      <c r="J23" s="251">
        <v>0</v>
      </c>
      <c r="K23" s="251"/>
      <c r="L23" s="251"/>
      <c r="M23" s="251"/>
      <c r="N23" s="251">
        <v>3.2000000000000001E-2</v>
      </c>
      <c r="O23" s="251"/>
      <c r="P23" s="251"/>
      <c r="Q23" s="251"/>
      <c r="R23" s="260">
        <f t="shared" si="4"/>
        <v>3.2000000000000001E-2</v>
      </c>
      <c r="S23" s="260"/>
      <c r="T23" s="260"/>
      <c r="U23" s="260"/>
      <c r="V23" s="261">
        <f t="shared" si="2"/>
        <v>9</v>
      </c>
      <c r="W23" s="261"/>
      <c r="X23" s="261" t="e">
        <f t="shared" si="3"/>
        <v>#DIV/0!</v>
      </c>
      <c r="Y23" s="261"/>
      <c r="Z23" s="250" t="s">
        <v>65</v>
      </c>
      <c r="AA23" s="251"/>
      <c r="AB23" s="251"/>
      <c r="AC23" s="251"/>
      <c r="AD23" s="251"/>
      <c r="AE23" s="251"/>
      <c r="AF23" s="252"/>
      <c r="AG23" s="26"/>
    </row>
    <row r="24" spans="2:36" ht="16.899999999999999" customHeight="1">
      <c r="B24" s="21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G24" s="26"/>
    </row>
    <row r="25" spans="2:36" ht="16.899999999999999" customHeight="1">
      <c r="B25" s="21"/>
      <c r="E25" s="253" t="s">
        <v>71</v>
      </c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5"/>
      <c r="S25" s="256">
        <f>MIN(V20,V21,V22,V23)</f>
        <v>9</v>
      </c>
      <c r="T25" s="256"/>
      <c r="U25" s="256"/>
      <c r="V25" s="256"/>
      <c r="AG25" s="26"/>
    </row>
    <row r="26" spans="2:36" ht="16.899999999999999" customHeight="1">
      <c r="B26" s="21"/>
      <c r="AG26" s="26"/>
    </row>
    <row r="27" spans="2:36" ht="16.899999999999999" customHeight="1">
      <c r="B27" s="21"/>
      <c r="C27" s="29" t="s">
        <v>72</v>
      </c>
      <c r="D27" s="29"/>
      <c r="E27" s="29" t="s">
        <v>73</v>
      </c>
      <c r="AG27" s="26"/>
      <c r="AJ27"/>
    </row>
    <row r="28" spans="2:36" ht="16.899999999999999" customHeight="1" thickBot="1">
      <c r="B28" s="21"/>
      <c r="AG28" s="26"/>
    </row>
    <row r="29" spans="2:36" ht="37.15" customHeight="1" thickBot="1">
      <c r="B29" s="21"/>
      <c r="E29" s="228" t="s">
        <v>51</v>
      </c>
      <c r="F29" s="229"/>
      <c r="G29" s="230" t="s">
        <v>52</v>
      </c>
      <c r="H29" s="230"/>
      <c r="I29" s="230"/>
      <c r="J29" s="231" t="s">
        <v>53</v>
      </c>
      <c r="K29" s="231"/>
      <c r="L29" s="231"/>
      <c r="M29" s="231"/>
      <c r="N29" s="231" t="s">
        <v>54</v>
      </c>
      <c r="O29" s="231"/>
      <c r="P29" s="231"/>
      <c r="Q29" s="232"/>
      <c r="R29" s="233" t="s">
        <v>55</v>
      </c>
      <c r="S29" s="233"/>
      <c r="T29" s="233"/>
      <c r="U29" s="233"/>
      <c r="V29" s="233" t="s">
        <v>56</v>
      </c>
      <c r="W29" s="233"/>
      <c r="X29" s="233"/>
      <c r="Y29" s="233"/>
      <c r="Z29" s="234" t="s">
        <v>57</v>
      </c>
      <c r="AA29" s="231"/>
      <c r="AB29" s="231"/>
      <c r="AC29" s="231"/>
      <c r="AD29" s="231"/>
      <c r="AE29" s="231"/>
      <c r="AF29" s="235"/>
      <c r="AG29" s="26"/>
    </row>
    <row r="30" spans="2:36" ht="16.899999999999999" customHeight="1">
      <c r="B30" s="21"/>
      <c r="E30" s="236">
        <v>1</v>
      </c>
      <c r="F30" s="237"/>
      <c r="G30" s="237" t="s">
        <v>58</v>
      </c>
      <c r="H30" s="237"/>
      <c r="I30" s="238"/>
      <c r="J30" s="239">
        <v>0.28899999999999998</v>
      </c>
      <c r="K30" s="239"/>
      <c r="L30" s="239"/>
      <c r="M30" s="239"/>
      <c r="N30" s="239">
        <v>0.28499999999999998</v>
      </c>
      <c r="O30" s="239"/>
      <c r="P30" s="239"/>
      <c r="Q30" s="239"/>
      <c r="R30" s="240">
        <f>IFERROR(((N30-J30)/J30),0)</f>
        <v>-1.3840830449827002E-2</v>
      </c>
      <c r="S30" s="240"/>
      <c r="T30" s="240"/>
      <c r="U30" s="240"/>
      <c r="V30" s="237"/>
      <c r="W30" s="237"/>
      <c r="X30" s="237"/>
      <c r="Y30" s="237"/>
      <c r="Z30" s="241" t="s">
        <v>59</v>
      </c>
      <c r="AA30" s="239"/>
      <c r="AB30" s="239"/>
      <c r="AC30" s="239"/>
      <c r="AD30" s="239"/>
      <c r="AE30" s="239"/>
      <c r="AF30" s="242"/>
      <c r="AG30" s="26"/>
    </row>
    <row r="31" spans="2:36" ht="16.899999999999999" customHeight="1">
      <c r="B31" s="21"/>
      <c r="E31" s="246">
        <v>2</v>
      </c>
      <c r="F31" s="247"/>
      <c r="G31" s="247" t="s">
        <v>60</v>
      </c>
      <c r="H31" s="247"/>
      <c r="I31" s="248"/>
      <c r="J31" s="244">
        <v>0.28899999999999998</v>
      </c>
      <c r="K31" s="244"/>
      <c r="L31" s="244"/>
      <c r="M31" s="244"/>
      <c r="N31" s="244">
        <v>0.28499999999999998</v>
      </c>
      <c r="O31" s="244"/>
      <c r="P31" s="244"/>
      <c r="Q31" s="244"/>
      <c r="R31" s="249">
        <f t="shared" ref="R31:R33" si="5">IFERROR(((N31-J31)/J31),0)</f>
        <v>-1.3840830449827002E-2</v>
      </c>
      <c r="S31" s="249"/>
      <c r="T31" s="249"/>
      <c r="U31" s="249"/>
      <c r="V31" s="247"/>
      <c r="W31" s="247"/>
      <c r="X31" s="247"/>
      <c r="Y31" s="247"/>
      <c r="Z31" s="243" t="s">
        <v>61</v>
      </c>
      <c r="AA31" s="244"/>
      <c r="AB31" s="244"/>
      <c r="AC31" s="244"/>
      <c r="AD31" s="244"/>
      <c r="AE31" s="244"/>
      <c r="AF31" s="245"/>
      <c r="AG31" s="26"/>
    </row>
    <row r="32" spans="2:36" ht="16.899999999999999" customHeight="1">
      <c r="B32" s="21"/>
      <c r="E32" s="246">
        <v>3</v>
      </c>
      <c r="F32" s="247"/>
      <c r="G32" s="247" t="s">
        <v>62</v>
      </c>
      <c r="H32" s="247"/>
      <c r="I32" s="248"/>
      <c r="J32" s="244">
        <v>0.28899999999999998</v>
      </c>
      <c r="K32" s="244"/>
      <c r="L32" s="244"/>
      <c r="M32" s="244"/>
      <c r="N32" s="244">
        <v>0.28499999999999998</v>
      </c>
      <c r="O32" s="244"/>
      <c r="P32" s="244"/>
      <c r="Q32" s="244"/>
      <c r="R32" s="249">
        <f t="shared" si="5"/>
        <v>-1.3840830449827002E-2</v>
      </c>
      <c r="S32" s="249"/>
      <c r="T32" s="249"/>
      <c r="U32" s="249"/>
      <c r="V32" s="247"/>
      <c r="W32" s="247"/>
      <c r="X32" s="247"/>
      <c r="Y32" s="247"/>
      <c r="Z32" s="243" t="s">
        <v>63</v>
      </c>
      <c r="AA32" s="244"/>
      <c r="AB32" s="244"/>
      <c r="AC32" s="244"/>
      <c r="AD32" s="244"/>
      <c r="AE32" s="244"/>
      <c r="AF32" s="245"/>
      <c r="AG32" s="26"/>
    </row>
    <row r="33" spans="2:36" ht="16.899999999999999" customHeight="1" thickBot="1">
      <c r="B33" s="21"/>
      <c r="E33" s="257">
        <v>4</v>
      </c>
      <c r="F33" s="258"/>
      <c r="G33" s="258" t="s">
        <v>64</v>
      </c>
      <c r="H33" s="258"/>
      <c r="I33" s="259"/>
      <c r="J33" s="251">
        <v>0.28899999999999998</v>
      </c>
      <c r="K33" s="251"/>
      <c r="L33" s="251"/>
      <c r="M33" s="251"/>
      <c r="N33" s="251">
        <v>0.28599999999999998</v>
      </c>
      <c r="O33" s="251"/>
      <c r="P33" s="251"/>
      <c r="Q33" s="251"/>
      <c r="R33" s="260">
        <f t="shared" si="5"/>
        <v>-1.0380622837370252E-2</v>
      </c>
      <c r="S33" s="260"/>
      <c r="T33" s="260"/>
      <c r="U33" s="260"/>
      <c r="V33" s="261">
        <f t="shared" ref="V33" si="6">IF((ABS(R33)&lt;=0.05),9,IF((ABS(R33)&lt;=0.1),6,1))</f>
        <v>9</v>
      </c>
      <c r="W33" s="261"/>
      <c r="X33" s="261">
        <f t="shared" ref="X33" si="7">(P33-J33)/J33</f>
        <v>-1</v>
      </c>
      <c r="Y33" s="261"/>
      <c r="Z33" s="250" t="s">
        <v>65</v>
      </c>
      <c r="AA33" s="251"/>
      <c r="AB33" s="251"/>
      <c r="AC33" s="251"/>
      <c r="AD33" s="251"/>
      <c r="AE33" s="251"/>
      <c r="AF33" s="252"/>
      <c r="AG33" s="26"/>
    </row>
    <row r="34" spans="2:36" ht="16.899999999999999" customHeight="1">
      <c r="B34" s="21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G34" s="26"/>
    </row>
    <row r="35" spans="2:36" ht="16.899999999999999" customHeight="1">
      <c r="B35" s="21"/>
      <c r="E35" s="253" t="s">
        <v>74</v>
      </c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5"/>
      <c r="S35" s="256">
        <f>MIN(V30,V31,V32,V33)</f>
        <v>9</v>
      </c>
      <c r="T35" s="256"/>
      <c r="U35" s="256"/>
      <c r="V35" s="256"/>
      <c r="AG35" s="26"/>
    </row>
    <row r="36" spans="2:36" ht="16.899999999999999" customHeight="1">
      <c r="B36" s="21"/>
      <c r="AG36" s="26"/>
    </row>
    <row r="37" spans="2:36" ht="16.899999999999999" customHeight="1">
      <c r="B37" s="21"/>
      <c r="C37" s="29" t="s">
        <v>75</v>
      </c>
      <c r="D37" s="29"/>
      <c r="E37" s="29" t="s">
        <v>76</v>
      </c>
      <c r="AG37" s="26"/>
      <c r="AJ37"/>
    </row>
    <row r="38" spans="2:36" ht="16.899999999999999" customHeight="1" thickBot="1">
      <c r="B38" s="21"/>
      <c r="AG38" s="26"/>
    </row>
    <row r="39" spans="2:36" ht="37.15" customHeight="1" thickBot="1">
      <c r="B39" s="21"/>
      <c r="E39" s="228" t="s">
        <v>51</v>
      </c>
      <c r="F39" s="229"/>
      <c r="G39" s="230" t="s">
        <v>52</v>
      </c>
      <c r="H39" s="230"/>
      <c r="I39" s="230"/>
      <c r="J39" s="231" t="s">
        <v>69</v>
      </c>
      <c r="K39" s="231"/>
      <c r="L39" s="231"/>
      <c r="M39" s="231"/>
      <c r="N39" s="231" t="s">
        <v>70</v>
      </c>
      <c r="O39" s="231"/>
      <c r="P39" s="231"/>
      <c r="Q39" s="232"/>
      <c r="R39" s="233" t="s">
        <v>55</v>
      </c>
      <c r="S39" s="233"/>
      <c r="T39" s="233"/>
      <c r="U39" s="233"/>
      <c r="V39" s="233" t="s">
        <v>56</v>
      </c>
      <c r="W39" s="233"/>
      <c r="X39" s="233"/>
      <c r="Y39" s="233"/>
      <c r="Z39" s="234" t="s">
        <v>57</v>
      </c>
      <c r="AA39" s="231"/>
      <c r="AB39" s="231"/>
      <c r="AC39" s="231"/>
      <c r="AD39" s="231"/>
      <c r="AE39" s="231"/>
      <c r="AF39" s="235"/>
      <c r="AG39" s="26"/>
    </row>
    <row r="40" spans="2:36" ht="16.899999999999999" customHeight="1">
      <c r="B40" s="21"/>
      <c r="E40" s="236">
        <v>1</v>
      </c>
      <c r="F40" s="237"/>
      <c r="G40" s="237" t="s">
        <v>77</v>
      </c>
      <c r="H40" s="237"/>
      <c r="I40" s="238"/>
      <c r="J40" s="239">
        <v>0</v>
      </c>
      <c r="K40" s="239"/>
      <c r="L40" s="239"/>
      <c r="M40" s="239"/>
      <c r="N40" s="239">
        <v>0.03</v>
      </c>
      <c r="O40" s="239"/>
      <c r="P40" s="239"/>
      <c r="Q40" s="239"/>
      <c r="R40" s="240">
        <f>ABS(N40)</f>
        <v>0.03</v>
      </c>
      <c r="S40" s="240"/>
      <c r="T40" s="240"/>
      <c r="U40" s="240"/>
      <c r="V40" s="262">
        <f>IF((ABS(R40)&lt;=0.05),9,IF((ABS(R40)&lt;=0.1),6,1))</f>
        <v>9</v>
      </c>
      <c r="W40" s="262"/>
      <c r="X40" s="262" t="e">
        <f>(P40-J40)/J40</f>
        <v>#DIV/0!</v>
      </c>
      <c r="Y40" s="262"/>
      <c r="Z40" s="241" t="s">
        <v>59</v>
      </c>
      <c r="AA40" s="239"/>
      <c r="AB40" s="239"/>
      <c r="AC40" s="239"/>
      <c r="AD40" s="239"/>
      <c r="AE40" s="239"/>
      <c r="AF40" s="242"/>
      <c r="AG40" s="26"/>
    </row>
    <row r="41" spans="2:36" ht="16.899999999999999" customHeight="1">
      <c r="B41" s="21"/>
      <c r="E41" s="246">
        <v>2</v>
      </c>
      <c r="F41" s="247"/>
      <c r="G41" s="247" t="s">
        <v>78</v>
      </c>
      <c r="H41" s="247"/>
      <c r="I41" s="248"/>
      <c r="J41" s="244">
        <v>0</v>
      </c>
      <c r="K41" s="244"/>
      <c r="L41" s="244"/>
      <c r="M41" s="244"/>
      <c r="N41" s="244">
        <v>3.1E-2</v>
      </c>
      <c r="O41" s="244"/>
      <c r="P41" s="244"/>
      <c r="Q41" s="244"/>
      <c r="R41" s="249">
        <f t="shared" ref="R41:R43" si="8">ABS(N41)</f>
        <v>3.1E-2</v>
      </c>
      <c r="S41" s="249"/>
      <c r="T41" s="249"/>
      <c r="U41" s="249"/>
      <c r="V41" s="256">
        <f t="shared" ref="V41:V43" si="9">IF((ABS(R41)&lt;=0.05),9,IF((ABS(R41)&lt;=0.1),6,1))</f>
        <v>9</v>
      </c>
      <c r="W41" s="256"/>
      <c r="X41" s="256" t="e">
        <f t="shared" ref="X41:X43" si="10">(P41-J41)/J41</f>
        <v>#DIV/0!</v>
      </c>
      <c r="Y41" s="256"/>
      <c r="Z41" s="243" t="s">
        <v>61</v>
      </c>
      <c r="AA41" s="244"/>
      <c r="AB41" s="244"/>
      <c r="AC41" s="244"/>
      <c r="AD41" s="244"/>
      <c r="AE41" s="244"/>
      <c r="AF41" s="245"/>
      <c r="AG41" s="26"/>
    </row>
    <row r="42" spans="2:36" ht="16.899999999999999" customHeight="1">
      <c r="B42" s="21"/>
      <c r="E42" s="246">
        <v>3</v>
      </c>
      <c r="F42" s="247"/>
      <c r="G42" s="247" t="s">
        <v>79</v>
      </c>
      <c r="H42" s="247"/>
      <c r="I42" s="248"/>
      <c r="J42" s="244">
        <v>0</v>
      </c>
      <c r="K42" s="244"/>
      <c r="L42" s="244"/>
      <c r="M42" s="244"/>
      <c r="N42" s="244">
        <v>3.1E-2</v>
      </c>
      <c r="O42" s="244"/>
      <c r="P42" s="244"/>
      <c r="Q42" s="244"/>
      <c r="R42" s="249">
        <f t="shared" si="8"/>
        <v>3.1E-2</v>
      </c>
      <c r="S42" s="249"/>
      <c r="T42" s="249"/>
      <c r="U42" s="249"/>
      <c r="V42" s="256">
        <f t="shared" si="9"/>
        <v>9</v>
      </c>
      <c r="W42" s="256"/>
      <c r="X42" s="256" t="e">
        <f t="shared" si="10"/>
        <v>#DIV/0!</v>
      </c>
      <c r="Y42" s="256"/>
      <c r="Z42" s="243" t="s">
        <v>63</v>
      </c>
      <c r="AA42" s="244"/>
      <c r="AB42" s="244"/>
      <c r="AC42" s="244"/>
      <c r="AD42" s="244"/>
      <c r="AE42" s="244"/>
      <c r="AF42" s="245"/>
      <c r="AG42" s="26"/>
    </row>
    <row r="43" spans="2:36" ht="16.899999999999999" customHeight="1" thickBot="1">
      <c r="B43" s="21"/>
      <c r="E43" s="257">
        <v>4</v>
      </c>
      <c r="F43" s="258"/>
      <c r="G43" s="258" t="s">
        <v>64</v>
      </c>
      <c r="H43" s="258"/>
      <c r="I43" s="259"/>
      <c r="J43" s="251">
        <v>0</v>
      </c>
      <c r="K43" s="251"/>
      <c r="L43" s="251"/>
      <c r="M43" s="251"/>
      <c r="N43" s="251">
        <v>3.2000000000000001E-2</v>
      </c>
      <c r="O43" s="251"/>
      <c r="P43" s="251"/>
      <c r="Q43" s="251"/>
      <c r="R43" s="260">
        <f t="shared" si="8"/>
        <v>3.2000000000000001E-2</v>
      </c>
      <c r="S43" s="260"/>
      <c r="T43" s="260"/>
      <c r="U43" s="260"/>
      <c r="V43" s="261">
        <f t="shared" si="9"/>
        <v>9</v>
      </c>
      <c r="W43" s="261"/>
      <c r="X43" s="261" t="e">
        <f t="shared" si="10"/>
        <v>#DIV/0!</v>
      </c>
      <c r="Y43" s="261"/>
      <c r="Z43" s="250" t="s">
        <v>65</v>
      </c>
      <c r="AA43" s="251"/>
      <c r="AB43" s="251"/>
      <c r="AC43" s="251"/>
      <c r="AD43" s="251"/>
      <c r="AE43" s="251"/>
      <c r="AF43" s="252"/>
      <c r="AG43" s="26"/>
    </row>
    <row r="44" spans="2:36" ht="16.899999999999999" customHeight="1">
      <c r="B44" s="21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G44" s="26"/>
    </row>
    <row r="45" spans="2:36" ht="16.899999999999999" customHeight="1">
      <c r="B45" s="21"/>
      <c r="E45" s="253" t="s">
        <v>80</v>
      </c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5"/>
      <c r="S45" s="256">
        <f>MIN(V40,V41,V42,V43)</f>
        <v>9</v>
      </c>
      <c r="T45" s="256"/>
      <c r="U45" s="256"/>
      <c r="V45" s="256"/>
      <c r="AG45" s="26"/>
    </row>
    <row r="46" spans="2:36" ht="16.899999999999999" customHeight="1">
      <c r="B46" s="21"/>
      <c r="AG46" s="26"/>
    </row>
    <row r="47" spans="2:36" ht="16.899999999999999" customHeight="1">
      <c r="B47" s="21"/>
      <c r="C47" s="29" t="s">
        <v>81</v>
      </c>
      <c r="D47" s="29"/>
      <c r="E47" s="29" t="s">
        <v>82</v>
      </c>
      <c r="AG47" s="26"/>
      <c r="AJ47"/>
    </row>
    <row r="48" spans="2:36" ht="16.899999999999999" customHeight="1" thickBot="1">
      <c r="B48" s="21"/>
      <c r="AG48" s="26"/>
    </row>
    <row r="49" spans="2:36" ht="37.15" customHeight="1" thickBot="1">
      <c r="B49" s="21"/>
      <c r="E49" s="228" t="s">
        <v>51</v>
      </c>
      <c r="F49" s="229"/>
      <c r="G49" s="230" t="s">
        <v>52</v>
      </c>
      <c r="H49" s="230"/>
      <c r="I49" s="230"/>
      <c r="J49" s="231" t="s">
        <v>53</v>
      </c>
      <c r="K49" s="231"/>
      <c r="L49" s="231"/>
      <c r="M49" s="231"/>
      <c r="N49" s="231" t="s">
        <v>54</v>
      </c>
      <c r="O49" s="231"/>
      <c r="P49" s="231"/>
      <c r="Q49" s="232"/>
      <c r="R49" s="233" t="s">
        <v>55</v>
      </c>
      <c r="S49" s="233"/>
      <c r="T49" s="233"/>
      <c r="U49" s="233"/>
      <c r="V49" s="233" t="s">
        <v>56</v>
      </c>
      <c r="W49" s="233"/>
      <c r="X49" s="233"/>
      <c r="Y49" s="233"/>
      <c r="Z49" s="234" t="s">
        <v>57</v>
      </c>
      <c r="AA49" s="231"/>
      <c r="AB49" s="231"/>
      <c r="AC49" s="231"/>
      <c r="AD49" s="231"/>
      <c r="AE49" s="231"/>
      <c r="AF49" s="235"/>
      <c r="AG49" s="26"/>
    </row>
    <row r="50" spans="2:36" ht="16.899999999999999" customHeight="1">
      <c r="B50" s="21"/>
      <c r="E50" s="236">
        <v>1</v>
      </c>
      <c r="F50" s="237"/>
      <c r="G50" s="237" t="s">
        <v>58</v>
      </c>
      <c r="H50" s="237"/>
      <c r="I50" s="238"/>
      <c r="J50" s="239"/>
      <c r="K50" s="239"/>
      <c r="L50" s="239"/>
      <c r="M50" s="239"/>
      <c r="N50" s="239"/>
      <c r="O50" s="239"/>
      <c r="P50" s="239"/>
      <c r="Q50" s="239"/>
      <c r="R50" s="240">
        <f>IFERROR(((N50-J50)/J50),0)</f>
        <v>0</v>
      </c>
      <c r="S50" s="240"/>
      <c r="T50" s="240"/>
      <c r="U50" s="240"/>
      <c r="V50" s="237"/>
      <c r="W50" s="237"/>
      <c r="X50" s="237"/>
      <c r="Y50" s="237"/>
      <c r="Z50" s="241"/>
      <c r="AA50" s="239"/>
      <c r="AB50" s="239"/>
      <c r="AC50" s="239"/>
      <c r="AD50" s="239"/>
      <c r="AE50" s="239"/>
      <c r="AF50" s="242"/>
      <c r="AG50" s="26"/>
    </row>
    <row r="51" spans="2:36" ht="16.899999999999999" customHeight="1">
      <c r="B51" s="21"/>
      <c r="E51" s="246">
        <v>2</v>
      </c>
      <c r="F51" s="247"/>
      <c r="G51" s="247" t="s">
        <v>60</v>
      </c>
      <c r="H51" s="247"/>
      <c r="I51" s="248"/>
      <c r="J51" s="244"/>
      <c r="K51" s="244"/>
      <c r="L51" s="244"/>
      <c r="M51" s="244"/>
      <c r="N51" s="244"/>
      <c r="O51" s="244"/>
      <c r="P51" s="244"/>
      <c r="Q51" s="244"/>
      <c r="R51" s="249">
        <f t="shared" ref="R51:R53" si="11">IFERROR(((N51-J51)/J51),0)</f>
        <v>0</v>
      </c>
      <c r="S51" s="249"/>
      <c r="T51" s="249"/>
      <c r="U51" s="249"/>
      <c r="V51" s="247"/>
      <c r="W51" s="247"/>
      <c r="X51" s="247"/>
      <c r="Y51" s="247"/>
      <c r="Z51" s="243"/>
      <c r="AA51" s="244"/>
      <c r="AB51" s="244"/>
      <c r="AC51" s="244"/>
      <c r="AD51" s="244"/>
      <c r="AE51" s="244"/>
      <c r="AF51" s="245"/>
      <c r="AG51" s="26"/>
    </row>
    <row r="52" spans="2:36" ht="16.899999999999999" customHeight="1">
      <c r="B52" s="21"/>
      <c r="E52" s="246">
        <v>3</v>
      </c>
      <c r="F52" s="247"/>
      <c r="G52" s="247" t="s">
        <v>62</v>
      </c>
      <c r="H52" s="247"/>
      <c r="I52" s="248"/>
      <c r="J52" s="244"/>
      <c r="K52" s="244"/>
      <c r="L52" s="244"/>
      <c r="M52" s="244"/>
      <c r="N52" s="244"/>
      <c r="O52" s="244"/>
      <c r="P52" s="244"/>
      <c r="Q52" s="244"/>
      <c r="R52" s="249">
        <f t="shared" si="11"/>
        <v>0</v>
      </c>
      <c r="S52" s="249"/>
      <c r="T52" s="249"/>
      <c r="U52" s="249"/>
      <c r="V52" s="247"/>
      <c r="W52" s="247"/>
      <c r="X52" s="247"/>
      <c r="Y52" s="247"/>
      <c r="Z52" s="243"/>
      <c r="AA52" s="244"/>
      <c r="AB52" s="244"/>
      <c r="AC52" s="244"/>
      <c r="AD52" s="244"/>
      <c r="AE52" s="244"/>
      <c r="AF52" s="245"/>
      <c r="AG52" s="26"/>
    </row>
    <row r="53" spans="2:36" ht="16.899999999999999" customHeight="1" thickBot="1">
      <c r="B53" s="21"/>
      <c r="E53" s="257">
        <v>4</v>
      </c>
      <c r="F53" s="258"/>
      <c r="G53" s="258" t="s">
        <v>64</v>
      </c>
      <c r="H53" s="258"/>
      <c r="I53" s="259"/>
      <c r="J53" s="251"/>
      <c r="K53" s="251"/>
      <c r="L53" s="251"/>
      <c r="M53" s="251"/>
      <c r="N53" s="251"/>
      <c r="O53" s="251"/>
      <c r="P53" s="251"/>
      <c r="Q53" s="251"/>
      <c r="R53" s="260">
        <f t="shared" si="11"/>
        <v>0</v>
      </c>
      <c r="S53" s="260"/>
      <c r="T53" s="260"/>
      <c r="U53" s="260"/>
      <c r="V53" s="261">
        <f>IF((ABS(R53)&lt;=0.05),9,IF((ABS(R53)&lt;=0.1),6,1))</f>
        <v>9</v>
      </c>
      <c r="W53" s="261"/>
      <c r="X53" s="261" t="e">
        <f t="shared" ref="X53" si="12">(P53-J53)/J53</f>
        <v>#DIV/0!</v>
      </c>
      <c r="Y53" s="261"/>
      <c r="Z53" s="250"/>
      <c r="AA53" s="251"/>
      <c r="AB53" s="251"/>
      <c r="AC53" s="251"/>
      <c r="AD53" s="251"/>
      <c r="AE53" s="251"/>
      <c r="AF53" s="252"/>
      <c r="AG53" s="26"/>
    </row>
    <row r="54" spans="2:36" ht="16.899999999999999" customHeight="1">
      <c r="B54" s="2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G54" s="26"/>
    </row>
    <row r="55" spans="2:36" ht="16.899999999999999" customHeight="1">
      <c r="B55" s="21"/>
      <c r="E55" s="253" t="s">
        <v>83</v>
      </c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5"/>
      <c r="S55" s="256">
        <f>MIN(V50,V51,V52,V53)</f>
        <v>9</v>
      </c>
      <c r="T55" s="256"/>
      <c r="U55" s="256"/>
      <c r="V55" s="256"/>
      <c r="AG55" s="26"/>
    </row>
    <row r="56" spans="2:36" ht="16.899999999999999" customHeight="1">
      <c r="B56" s="21"/>
      <c r="AG56" s="26"/>
    </row>
    <row r="57" spans="2:36" ht="16.899999999999999" customHeight="1">
      <c r="B57" s="21"/>
      <c r="C57" s="29" t="s">
        <v>84</v>
      </c>
      <c r="D57" s="29"/>
      <c r="E57" s="29" t="s">
        <v>85</v>
      </c>
      <c r="AG57" s="26"/>
      <c r="AJ57"/>
    </row>
    <row r="58" spans="2:36" ht="16.899999999999999" customHeight="1" thickBot="1">
      <c r="B58" s="21"/>
      <c r="AG58" s="26"/>
    </row>
    <row r="59" spans="2:36" ht="37.15" customHeight="1" thickBot="1">
      <c r="B59" s="21"/>
      <c r="E59" s="228" t="s">
        <v>51</v>
      </c>
      <c r="F59" s="229"/>
      <c r="G59" s="230" t="s">
        <v>52</v>
      </c>
      <c r="H59" s="230"/>
      <c r="I59" s="230"/>
      <c r="J59" s="231" t="s">
        <v>69</v>
      </c>
      <c r="K59" s="231"/>
      <c r="L59" s="231"/>
      <c r="M59" s="231"/>
      <c r="N59" s="231" t="s">
        <v>70</v>
      </c>
      <c r="O59" s="231"/>
      <c r="P59" s="231"/>
      <c r="Q59" s="232"/>
      <c r="R59" s="233" t="s">
        <v>55</v>
      </c>
      <c r="S59" s="233"/>
      <c r="T59" s="233"/>
      <c r="U59" s="233"/>
      <c r="V59" s="233" t="s">
        <v>56</v>
      </c>
      <c r="W59" s="233"/>
      <c r="X59" s="233"/>
      <c r="Y59" s="233"/>
      <c r="Z59" s="234" t="s">
        <v>57</v>
      </c>
      <c r="AA59" s="231"/>
      <c r="AB59" s="231"/>
      <c r="AC59" s="231"/>
      <c r="AD59" s="231"/>
      <c r="AE59" s="231"/>
      <c r="AF59" s="235"/>
      <c r="AG59" s="26"/>
    </row>
    <row r="60" spans="2:36" ht="16.899999999999999" customHeight="1">
      <c r="B60" s="21"/>
      <c r="E60" s="236">
        <v>1</v>
      </c>
      <c r="F60" s="237"/>
      <c r="G60" s="237" t="s">
        <v>77</v>
      </c>
      <c r="H60" s="237"/>
      <c r="I60" s="238"/>
      <c r="J60" s="239"/>
      <c r="K60" s="239"/>
      <c r="L60" s="239"/>
      <c r="M60" s="239"/>
      <c r="N60" s="239"/>
      <c r="O60" s="239"/>
      <c r="P60" s="239"/>
      <c r="Q60" s="239"/>
      <c r="R60" s="240">
        <f>ABS(N60)</f>
        <v>0</v>
      </c>
      <c r="S60" s="240"/>
      <c r="T60" s="240"/>
      <c r="U60" s="240"/>
      <c r="V60" s="262">
        <f>IF((ABS(R60)&lt;=0.05),9,IF((ABS(R60)&lt;=0.1),6,1))</f>
        <v>9</v>
      </c>
      <c r="W60" s="262"/>
      <c r="X60" s="262" t="e">
        <f>(P60-J60)/J60</f>
        <v>#DIV/0!</v>
      </c>
      <c r="Y60" s="262"/>
      <c r="Z60" s="241"/>
      <c r="AA60" s="239"/>
      <c r="AB60" s="239"/>
      <c r="AC60" s="239"/>
      <c r="AD60" s="239"/>
      <c r="AE60" s="239"/>
      <c r="AF60" s="242"/>
      <c r="AG60" s="26"/>
    </row>
    <row r="61" spans="2:36" ht="16.899999999999999" customHeight="1">
      <c r="B61" s="21"/>
      <c r="E61" s="246">
        <v>2</v>
      </c>
      <c r="F61" s="247"/>
      <c r="G61" s="247" t="s">
        <v>78</v>
      </c>
      <c r="H61" s="247"/>
      <c r="I61" s="248"/>
      <c r="J61" s="244"/>
      <c r="K61" s="244"/>
      <c r="L61" s="244"/>
      <c r="M61" s="244"/>
      <c r="N61" s="244"/>
      <c r="O61" s="244"/>
      <c r="P61" s="244"/>
      <c r="Q61" s="244"/>
      <c r="R61" s="249">
        <f t="shared" ref="R61:R63" si="13">ABS(N61)</f>
        <v>0</v>
      </c>
      <c r="S61" s="249"/>
      <c r="T61" s="249"/>
      <c r="U61" s="249"/>
      <c r="V61" s="256">
        <f t="shared" ref="V61:V63" si="14">IF((ABS(R61)&lt;=0.05),9,IF((ABS(R61)&lt;=0.1),6,1))</f>
        <v>9</v>
      </c>
      <c r="W61" s="256"/>
      <c r="X61" s="256" t="e">
        <f t="shared" ref="X61:X63" si="15">(P61-J61)/J61</f>
        <v>#DIV/0!</v>
      </c>
      <c r="Y61" s="256"/>
      <c r="Z61" s="243"/>
      <c r="AA61" s="244"/>
      <c r="AB61" s="244"/>
      <c r="AC61" s="244"/>
      <c r="AD61" s="244"/>
      <c r="AE61" s="244"/>
      <c r="AF61" s="245"/>
      <c r="AG61" s="26"/>
    </row>
    <row r="62" spans="2:36" ht="16.899999999999999" customHeight="1">
      <c r="B62" s="21"/>
      <c r="E62" s="246">
        <v>3</v>
      </c>
      <c r="F62" s="247"/>
      <c r="G62" s="247" t="s">
        <v>79</v>
      </c>
      <c r="H62" s="247"/>
      <c r="I62" s="248"/>
      <c r="J62" s="244"/>
      <c r="K62" s="244"/>
      <c r="L62" s="244"/>
      <c r="M62" s="244"/>
      <c r="N62" s="244"/>
      <c r="O62" s="244"/>
      <c r="P62" s="244"/>
      <c r="Q62" s="244"/>
      <c r="R62" s="249">
        <f t="shared" si="13"/>
        <v>0</v>
      </c>
      <c r="S62" s="249"/>
      <c r="T62" s="249"/>
      <c r="U62" s="249"/>
      <c r="V62" s="256">
        <f t="shared" si="14"/>
        <v>9</v>
      </c>
      <c r="W62" s="256"/>
      <c r="X62" s="256" t="e">
        <f t="shared" si="15"/>
        <v>#DIV/0!</v>
      </c>
      <c r="Y62" s="256"/>
      <c r="Z62" s="243"/>
      <c r="AA62" s="244"/>
      <c r="AB62" s="244"/>
      <c r="AC62" s="244"/>
      <c r="AD62" s="244"/>
      <c r="AE62" s="244"/>
      <c r="AF62" s="245"/>
      <c r="AG62" s="26"/>
    </row>
    <row r="63" spans="2:36" ht="16.899999999999999" customHeight="1" thickBot="1">
      <c r="B63" s="21"/>
      <c r="E63" s="257">
        <v>4</v>
      </c>
      <c r="F63" s="258"/>
      <c r="G63" s="258" t="s">
        <v>64</v>
      </c>
      <c r="H63" s="258"/>
      <c r="I63" s="259"/>
      <c r="J63" s="251"/>
      <c r="K63" s="251"/>
      <c r="L63" s="251"/>
      <c r="M63" s="251"/>
      <c r="N63" s="251"/>
      <c r="O63" s="251"/>
      <c r="P63" s="251"/>
      <c r="Q63" s="251"/>
      <c r="R63" s="260">
        <f t="shared" si="13"/>
        <v>0</v>
      </c>
      <c r="S63" s="260"/>
      <c r="T63" s="260"/>
      <c r="U63" s="260"/>
      <c r="V63" s="261">
        <f t="shared" si="14"/>
        <v>9</v>
      </c>
      <c r="W63" s="261"/>
      <c r="X63" s="261" t="e">
        <f t="shared" si="15"/>
        <v>#DIV/0!</v>
      </c>
      <c r="Y63" s="261"/>
      <c r="Z63" s="250"/>
      <c r="AA63" s="251"/>
      <c r="AB63" s="251"/>
      <c r="AC63" s="251"/>
      <c r="AD63" s="251"/>
      <c r="AE63" s="251"/>
      <c r="AF63" s="252"/>
      <c r="AG63" s="26"/>
    </row>
    <row r="64" spans="2:36" ht="16.899999999999999" customHeight="1">
      <c r="B64" s="2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G64" s="26"/>
    </row>
    <row r="65" spans="2:36" ht="16.899999999999999" customHeight="1">
      <c r="B65" s="21"/>
      <c r="E65" s="253" t="s">
        <v>86</v>
      </c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5"/>
      <c r="S65" s="256">
        <f>MIN(V60,V61,V62,V63)</f>
        <v>9</v>
      </c>
      <c r="T65" s="256"/>
      <c r="U65" s="256"/>
      <c r="V65" s="256"/>
      <c r="AG65" s="26"/>
    </row>
    <row r="66" spans="2:36" ht="16.899999999999999" customHeight="1">
      <c r="B66" s="21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5"/>
      <c r="T66" s="35"/>
      <c r="U66" s="35"/>
      <c r="V66" s="35"/>
      <c r="AG66" s="26"/>
    </row>
    <row r="67" spans="2:36" ht="16.899999999999999" customHeight="1">
      <c r="B67" s="21"/>
      <c r="C67" s="29" t="s">
        <v>87</v>
      </c>
      <c r="D67" s="29"/>
      <c r="E67" s="29" t="s">
        <v>88</v>
      </c>
      <c r="AG67" s="26"/>
      <c r="AJ67"/>
    </row>
    <row r="68" spans="2:36" ht="16.899999999999999" customHeight="1" thickBot="1">
      <c r="B68" s="21"/>
      <c r="AG68" s="26"/>
    </row>
    <row r="69" spans="2:36" ht="37.15" customHeight="1" thickBot="1">
      <c r="B69" s="21"/>
      <c r="E69" s="228" t="s">
        <v>51</v>
      </c>
      <c r="F69" s="229"/>
      <c r="G69" s="230" t="s">
        <v>89</v>
      </c>
      <c r="H69" s="230"/>
      <c r="I69" s="230"/>
      <c r="J69" s="231" t="s">
        <v>53</v>
      </c>
      <c r="K69" s="231"/>
      <c r="L69" s="231"/>
      <c r="M69" s="231"/>
      <c r="N69" s="231" t="s">
        <v>54</v>
      </c>
      <c r="O69" s="231"/>
      <c r="P69" s="231"/>
      <c r="Q69" s="232"/>
      <c r="R69" s="233" t="s">
        <v>55</v>
      </c>
      <c r="S69" s="233"/>
      <c r="T69" s="233"/>
      <c r="U69" s="233"/>
      <c r="V69" s="233" t="s">
        <v>56</v>
      </c>
      <c r="W69" s="233"/>
      <c r="X69" s="233"/>
      <c r="Y69" s="233"/>
      <c r="Z69" s="234" t="s">
        <v>57</v>
      </c>
      <c r="AA69" s="231"/>
      <c r="AB69" s="231"/>
      <c r="AC69" s="231"/>
      <c r="AD69" s="231"/>
      <c r="AE69" s="231"/>
      <c r="AF69" s="235"/>
      <c r="AG69" s="26"/>
    </row>
    <row r="70" spans="2:36" ht="16.899999999999999" customHeight="1">
      <c r="B70" s="21"/>
      <c r="E70" s="236">
        <v>1</v>
      </c>
      <c r="F70" s="237"/>
      <c r="G70" s="237" t="s">
        <v>90</v>
      </c>
      <c r="H70" s="237"/>
      <c r="I70" s="238"/>
      <c r="J70" s="239">
        <v>0.12</v>
      </c>
      <c r="K70" s="239"/>
      <c r="L70" s="239"/>
      <c r="M70" s="239"/>
      <c r="N70" s="239">
        <v>0.11899999999999999</v>
      </c>
      <c r="O70" s="239"/>
      <c r="P70" s="239"/>
      <c r="Q70" s="239"/>
      <c r="R70" s="240">
        <f>IFERROR(((N70-J70)/J70),0)</f>
        <v>-8.3333333333333419E-3</v>
      </c>
      <c r="S70" s="240"/>
      <c r="T70" s="240"/>
      <c r="U70" s="240"/>
      <c r="V70" s="262">
        <f>IF((ABS(R70)&lt;=0.05),9,IF((ABS(R70)&lt;=0.1),6,1))</f>
        <v>9</v>
      </c>
      <c r="W70" s="262"/>
      <c r="X70" s="262">
        <f>(P70-J70)/J70</f>
        <v>-1</v>
      </c>
      <c r="Y70" s="262"/>
      <c r="Z70" s="241" t="s">
        <v>376</v>
      </c>
      <c r="AA70" s="239"/>
      <c r="AB70" s="239"/>
      <c r="AC70" s="239"/>
      <c r="AD70" s="239"/>
      <c r="AE70" s="239"/>
      <c r="AF70" s="242"/>
      <c r="AG70" s="26"/>
    </row>
    <row r="71" spans="2:36" ht="16.899999999999999" customHeight="1" thickBot="1">
      <c r="B71" s="21"/>
      <c r="E71" s="257">
        <v>2</v>
      </c>
      <c r="F71" s="258"/>
      <c r="G71" s="258" t="s">
        <v>91</v>
      </c>
      <c r="H71" s="258"/>
      <c r="I71" s="259"/>
      <c r="J71" s="251">
        <v>0.152</v>
      </c>
      <c r="K71" s="251"/>
      <c r="L71" s="251"/>
      <c r="M71" s="251"/>
      <c r="N71" s="251">
        <v>0.152</v>
      </c>
      <c r="O71" s="251"/>
      <c r="P71" s="251"/>
      <c r="Q71" s="251"/>
      <c r="R71" s="260">
        <f t="shared" ref="R71" si="16">IFERROR(((N71-J71)/J71),0)</f>
        <v>0</v>
      </c>
      <c r="S71" s="260"/>
      <c r="T71" s="260"/>
      <c r="U71" s="260"/>
      <c r="V71" s="261">
        <f>IF((ABS(R71)&lt;=0.05),9,IF((ABS(R71)&lt;=0.1),6,1))</f>
        <v>9</v>
      </c>
      <c r="W71" s="261"/>
      <c r="X71" s="261">
        <f t="shared" ref="X71" si="17">(P71-J71)/J71</f>
        <v>-1</v>
      </c>
      <c r="Y71" s="261"/>
      <c r="Z71" s="250" t="s">
        <v>377</v>
      </c>
      <c r="AA71" s="251"/>
      <c r="AB71" s="251"/>
      <c r="AC71" s="251"/>
      <c r="AD71" s="251"/>
      <c r="AE71" s="251"/>
      <c r="AF71" s="252"/>
      <c r="AG71" s="26"/>
    </row>
    <row r="72" spans="2:36" ht="16.899999999999999" customHeight="1">
      <c r="B72" s="2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G72" s="26"/>
    </row>
    <row r="73" spans="2:36" ht="16.899999999999999" customHeight="1">
      <c r="B73" s="21"/>
      <c r="E73" s="253" t="s">
        <v>92</v>
      </c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5"/>
      <c r="S73" s="256">
        <f>MIN(V70,V71)</f>
        <v>9</v>
      </c>
      <c r="T73" s="256"/>
      <c r="U73" s="256"/>
      <c r="V73" s="256"/>
      <c r="AG73" s="26"/>
    </row>
    <row r="74" spans="2:36" ht="16.899999999999999" customHeight="1">
      <c r="B74" s="21"/>
      <c r="AG74" s="26"/>
    </row>
    <row r="75" spans="2:36" ht="16.899999999999999" customHeight="1">
      <c r="B75" s="21"/>
      <c r="C75" s="29" t="s">
        <v>93</v>
      </c>
      <c r="D75" s="29"/>
      <c r="E75" s="29" t="s">
        <v>94</v>
      </c>
      <c r="AG75" s="26"/>
      <c r="AJ75"/>
    </row>
    <row r="76" spans="2:36" ht="16.899999999999999" customHeight="1" thickBot="1">
      <c r="B76" s="21"/>
      <c r="AG76" s="26"/>
    </row>
    <row r="77" spans="2:36" ht="37.15" customHeight="1" thickBot="1">
      <c r="B77" s="21"/>
      <c r="E77" s="228" t="s">
        <v>51</v>
      </c>
      <c r="F77" s="229"/>
      <c r="G77" s="230" t="s">
        <v>89</v>
      </c>
      <c r="H77" s="230"/>
      <c r="I77" s="230"/>
      <c r="J77" s="231" t="s">
        <v>69</v>
      </c>
      <c r="K77" s="231"/>
      <c r="L77" s="231"/>
      <c r="M77" s="231"/>
      <c r="N77" s="231" t="s">
        <v>70</v>
      </c>
      <c r="O77" s="231"/>
      <c r="P77" s="231"/>
      <c r="Q77" s="232"/>
      <c r="R77" s="233" t="s">
        <v>55</v>
      </c>
      <c r="S77" s="233"/>
      <c r="T77" s="233"/>
      <c r="U77" s="233"/>
      <c r="V77" s="233" t="s">
        <v>56</v>
      </c>
      <c r="W77" s="233"/>
      <c r="X77" s="233"/>
      <c r="Y77" s="233"/>
      <c r="Z77" s="234" t="s">
        <v>57</v>
      </c>
      <c r="AA77" s="231"/>
      <c r="AB77" s="231"/>
      <c r="AC77" s="231"/>
      <c r="AD77" s="231"/>
      <c r="AE77" s="231"/>
      <c r="AF77" s="235"/>
      <c r="AG77" s="26"/>
    </row>
    <row r="78" spans="2:36" ht="16.899999999999999" customHeight="1">
      <c r="B78" s="21"/>
      <c r="E78" s="236">
        <v>1</v>
      </c>
      <c r="F78" s="237"/>
      <c r="G78" s="237" t="s">
        <v>90</v>
      </c>
      <c r="H78" s="237"/>
      <c r="I78" s="238"/>
      <c r="J78" s="239">
        <v>0</v>
      </c>
      <c r="K78" s="239"/>
      <c r="L78" s="239"/>
      <c r="M78" s="239"/>
      <c r="N78" s="239">
        <v>3.9E-2</v>
      </c>
      <c r="O78" s="239"/>
      <c r="P78" s="239"/>
      <c r="Q78" s="239"/>
      <c r="R78" s="240">
        <f>ABS(N78)</f>
        <v>3.9E-2</v>
      </c>
      <c r="S78" s="240"/>
      <c r="T78" s="240"/>
      <c r="U78" s="240"/>
      <c r="V78" s="262">
        <f>IF((ABS(R78)&lt;=0.05),9,IF((ABS(R78)&lt;=0.1),6,1))</f>
        <v>9</v>
      </c>
      <c r="W78" s="262"/>
      <c r="X78" s="262" t="e">
        <f>(P78-J78)/J78</f>
        <v>#DIV/0!</v>
      </c>
      <c r="Y78" s="262"/>
      <c r="Z78" s="241" t="s">
        <v>376</v>
      </c>
      <c r="AA78" s="239"/>
      <c r="AB78" s="239"/>
      <c r="AC78" s="239"/>
      <c r="AD78" s="239"/>
      <c r="AE78" s="239"/>
      <c r="AF78" s="242"/>
      <c r="AG78" s="26"/>
    </row>
    <row r="79" spans="2:36" ht="16.899999999999999" customHeight="1" thickBot="1">
      <c r="B79" s="21"/>
      <c r="E79" s="257">
        <v>2</v>
      </c>
      <c r="F79" s="258"/>
      <c r="G79" s="258" t="s">
        <v>91</v>
      </c>
      <c r="H79" s="258"/>
      <c r="I79" s="259"/>
      <c r="J79" s="251">
        <v>0</v>
      </c>
      <c r="K79" s="251"/>
      <c r="L79" s="251"/>
      <c r="M79" s="251"/>
      <c r="N79" s="251">
        <v>4.2999999999999997E-2</v>
      </c>
      <c r="O79" s="251"/>
      <c r="P79" s="251"/>
      <c r="Q79" s="251"/>
      <c r="R79" s="260">
        <f t="shared" ref="R79" si="18">ABS(N79)</f>
        <v>4.2999999999999997E-2</v>
      </c>
      <c r="S79" s="260"/>
      <c r="T79" s="260"/>
      <c r="U79" s="260"/>
      <c r="V79" s="261">
        <f t="shared" ref="V79" si="19">IF((ABS(R79)&lt;=0.05),9,IF((ABS(R79)&lt;=0.1),6,1))</f>
        <v>9</v>
      </c>
      <c r="W79" s="261"/>
      <c r="X79" s="261" t="e">
        <f t="shared" ref="X79" si="20">(P79-J79)/J79</f>
        <v>#DIV/0!</v>
      </c>
      <c r="Y79" s="261"/>
      <c r="Z79" s="250" t="s">
        <v>377</v>
      </c>
      <c r="AA79" s="251"/>
      <c r="AB79" s="251"/>
      <c r="AC79" s="251"/>
      <c r="AD79" s="251"/>
      <c r="AE79" s="251"/>
      <c r="AF79" s="252"/>
      <c r="AG79" s="26"/>
    </row>
    <row r="80" spans="2:36" ht="16.899999999999999" customHeight="1">
      <c r="B80" s="2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G80" s="26"/>
    </row>
    <row r="81" spans="2:36" ht="16.899999999999999" customHeight="1">
      <c r="B81" s="21"/>
      <c r="E81" s="253" t="s">
        <v>95</v>
      </c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5"/>
      <c r="S81" s="256">
        <f>MIN(V78,V79)</f>
        <v>9</v>
      </c>
      <c r="T81" s="256"/>
      <c r="U81" s="256"/>
      <c r="V81" s="256"/>
      <c r="AG81" s="26"/>
    </row>
    <row r="82" spans="2:36" ht="16.899999999999999" customHeight="1">
      <c r="B82" s="21"/>
      <c r="AG82" s="26"/>
    </row>
    <row r="83" spans="2:36" ht="16.899999999999999" customHeight="1">
      <c r="B83" s="21"/>
      <c r="C83" s="29" t="s">
        <v>96</v>
      </c>
      <c r="D83" s="29"/>
      <c r="E83" s="29" t="s">
        <v>97</v>
      </c>
      <c r="AG83" s="26"/>
      <c r="AJ83"/>
    </row>
    <row r="84" spans="2:36" ht="16.899999999999999" customHeight="1" thickBot="1">
      <c r="B84" s="21"/>
      <c r="AG84" s="26"/>
    </row>
    <row r="85" spans="2:36" ht="37.15" customHeight="1" thickBot="1">
      <c r="B85" s="21"/>
      <c r="E85" s="228" t="s">
        <v>51</v>
      </c>
      <c r="F85" s="229"/>
      <c r="G85" s="230" t="s">
        <v>89</v>
      </c>
      <c r="H85" s="230"/>
      <c r="I85" s="230"/>
      <c r="J85" s="231" t="s">
        <v>98</v>
      </c>
      <c r="K85" s="231"/>
      <c r="L85" s="231"/>
      <c r="M85" s="231"/>
      <c r="N85" s="231" t="s">
        <v>99</v>
      </c>
      <c r="O85" s="231"/>
      <c r="P85" s="231"/>
      <c r="Q85" s="232"/>
      <c r="R85" s="233" t="s">
        <v>55</v>
      </c>
      <c r="S85" s="233"/>
      <c r="T85" s="233"/>
      <c r="U85" s="233"/>
      <c r="V85" s="233" t="s">
        <v>56</v>
      </c>
      <c r="W85" s="233"/>
      <c r="X85" s="233"/>
      <c r="Y85" s="233"/>
      <c r="Z85" s="234" t="s">
        <v>57</v>
      </c>
      <c r="AA85" s="231"/>
      <c r="AB85" s="231"/>
      <c r="AC85" s="231"/>
      <c r="AD85" s="231"/>
      <c r="AE85" s="231"/>
      <c r="AF85" s="235"/>
      <c r="AG85" s="26"/>
    </row>
    <row r="86" spans="2:36" ht="16.899999999999999" customHeight="1">
      <c r="B86" s="21"/>
      <c r="E86" s="236">
        <v>1</v>
      </c>
      <c r="F86" s="237"/>
      <c r="G86" s="237" t="s">
        <v>77</v>
      </c>
      <c r="H86" s="237"/>
      <c r="I86" s="238"/>
      <c r="J86" s="239"/>
      <c r="K86" s="239"/>
      <c r="L86" s="239"/>
      <c r="M86" s="239"/>
      <c r="N86" s="239"/>
      <c r="O86" s="239"/>
      <c r="P86" s="239"/>
      <c r="Q86" s="239"/>
      <c r="R86" s="240">
        <f>IFERROR(((N86-J86)/J86),0)</f>
        <v>0</v>
      </c>
      <c r="S86" s="240"/>
      <c r="T86" s="240"/>
      <c r="U86" s="240"/>
      <c r="V86" s="262">
        <f>IF((ABS(R86)&lt;=0.05),9,IF((ABS(R86)&lt;=0.1),6,1))</f>
        <v>9</v>
      </c>
      <c r="W86" s="262"/>
      <c r="X86" s="262" t="e">
        <f>(P86-J86)/J86</f>
        <v>#DIV/0!</v>
      </c>
      <c r="Y86" s="262"/>
      <c r="Z86" s="241"/>
      <c r="AA86" s="239"/>
      <c r="AB86" s="239"/>
      <c r="AC86" s="239"/>
      <c r="AD86" s="239"/>
      <c r="AE86" s="239"/>
      <c r="AF86" s="242"/>
      <c r="AG86" s="26"/>
    </row>
    <row r="87" spans="2:36" ht="16.899999999999999" customHeight="1">
      <c r="B87" s="21"/>
      <c r="E87" s="246">
        <v>2</v>
      </c>
      <c r="F87" s="247"/>
      <c r="G87" s="247" t="s">
        <v>78</v>
      </c>
      <c r="H87" s="247"/>
      <c r="I87" s="248"/>
      <c r="J87" s="244"/>
      <c r="K87" s="244"/>
      <c r="L87" s="244"/>
      <c r="M87" s="244"/>
      <c r="N87" s="244"/>
      <c r="O87" s="244"/>
      <c r="P87" s="244"/>
      <c r="Q87" s="244"/>
      <c r="R87" s="249">
        <f t="shared" ref="R87:R89" si="21">IFERROR(((N87-J87)/J87),0)</f>
        <v>0</v>
      </c>
      <c r="S87" s="249"/>
      <c r="T87" s="249"/>
      <c r="U87" s="249"/>
      <c r="V87" s="256">
        <f t="shared" ref="V87:V89" si="22">IF((ABS(R87)&lt;=0.05),9,IF((ABS(R87)&lt;=0.1),6,1))</f>
        <v>9</v>
      </c>
      <c r="W87" s="256"/>
      <c r="X87" s="256" t="e">
        <f t="shared" ref="X87:X89" si="23">(P87-J87)/J87</f>
        <v>#DIV/0!</v>
      </c>
      <c r="Y87" s="256"/>
      <c r="Z87" s="243"/>
      <c r="AA87" s="244"/>
      <c r="AB87" s="244"/>
      <c r="AC87" s="244"/>
      <c r="AD87" s="244"/>
      <c r="AE87" s="244"/>
      <c r="AF87" s="245"/>
      <c r="AG87" s="26"/>
    </row>
    <row r="88" spans="2:36" ht="16.899999999999999" customHeight="1">
      <c r="B88" s="21"/>
      <c r="E88" s="246">
        <v>3</v>
      </c>
      <c r="F88" s="247"/>
      <c r="G88" s="247" t="s">
        <v>79</v>
      </c>
      <c r="H88" s="247"/>
      <c r="I88" s="248"/>
      <c r="J88" s="244"/>
      <c r="K88" s="244"/>
      <c r="L88" s="244"/>
      <c r="M88" s="244"/>
      <c r="N88" s="244"/>
      <c r="O88" s="244"/>
      <c r="P88" s="244"/>
      <c r="Q88" s="244"/>
      <c r="R88" s="249">
        <f t="shared" si="21"/>
        <v>0</v>
      </c>
      <c r="S88" s="249"/>
      <c r="T88" s="249"/>
      <c r="U88" s="249"/>
      <c r="V88" s="256">
        <f t="shared" si="22"/>
        <v>9</v>
      </c>
      <c r="W88" s="256"/>
      <c r="X88" s="256" t="e">
        <f t="shared" si="23"/>
        <v>#DIV/0!</v>
      </c>
      <c r="Y88" s="256"/>
      <c r="Z88" s="243"/>
      <c r="AA88" s="244"/>
      <c r="AB88" s="244"/>
      <c r="AC88" s="244"/>
      <c r="AD88" s="244"/>
      <c r="AE88" s="244"/>
      <c r="AF88" s="245"/>
      <c r="AG88" s="26"/>
    </row>
    <row r="89" spans="2:36" ht="16.899999999999999" customHeight="1" thickBot="1">
      <c r="B89" s="21"/>
      <c r="E89" s="257">
        <v>4</v>
      </c>
      <c r="F89" s="258"/>
      <c r="G89" s="258" t="s">
        <v>64</v>
      </c>
      <c r="H89" s="258"/>
      <c r="I89" s="259"/>
      <c r="J89" s="251">
        <v>6</v>
      </c>
      <c r="K89" s="251"/>
      <c r="L89" s="251"/>
      <c r="M89" s="251"/>
      <c r="N89" s="251">
        <v>6.0030000000000001</v>
      </c>
      <c r="O89" s="251"/>
      <c r="P89" s="251"/>
      <c r="Q89" s="251"/>
      <c r="R89" s="260">
        <f t="shared" si="21"/>
        <v>5.0000000000001898E-4</v>
      </c>
      <c r="S89" s="260"/>
      <c r="T89" s="260"/>
      <c r="U89" s="260"/>
      <c r="V89" s="261">
        <f t="shared" si="22"/>
        <v>9</v>
      </c>
      <c r="W89" s="261"/>
      <c r="X89" s="261">
        <f t="shared" si="23"/>
        <v>-1</v>
      </c>
      <c r="Y89" s="261"/>
      <c r="Z89" s="250" t="s">
        <v>65</v>
      </c>
      <c r="AA89" s="251"/>
      <c r="AB89" s="251"/>
      <c r="AC89" s="251"/>
      <c r="AD89" s="251"/>
      <c r="AE89" s="251"/>
      <c r="AF89" s="252"/>
      <c r="AG89" s="26"/>
    </row>
    <row r="90" spans="2:36" ht="16.899999999999999" customHeight="1">
      <c r="B90" s="21"/>
      <c r="E90" s="37" t="s">
        <v>100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G90" s="26"/>
    </row>
    <row r="91" spans="2:36" ht="16.899999999999999" customHeight="1">
      <c r="B91" s="21"/>
      <c r="E91" s="253" t="s">
        <v>101</v>
      </c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5"/>
      <c r="S91" s="256">
        <f>MIN(V86,V87,V88,V89)</f>
        <v>9</v>
      </c>
      <c r="T91" s="256"/>
      <c r="U91" s="256"/>
      <c r="V91" s="256"/>
      <c r="AG91" s="26"/>
    </row>
    <row r="92" spans="2:36" ht="16.899999999999999" customHeight="1">
      <c r="B92" s="21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5"/>
      <c r="T92" s="35"/>
      <c r="U92" s="35"/>
      <c r="V92" s="35"/>
      <c r="AG92" s="26"/>
    </row>
    <row r="93" spans="2:36" ht="16.899999999999999" customHeight="1">
      <c r="B93" s="21"/>
      <c r="C93" s="29" t="s">
        <v>102</v>
      </c>
      <c r="D93" s="29"/>
      <c r="E93" s="29" t="s">
        <v>103</v>
      </c>
      <c r="AG93" s="26"/>
    </row>
    <row r="94" spans="2:36" ht="16.899999999999999" customHeight="1" thickBot="1">
      <c r="B94" s="21"/>
      <c r="AG94" s="26"/>
    </row>
    <row r="95" spans="2:36" ht="37.15" customHeight="1" thickBot="1">
      <c r="B95" s="21"/>
      <c r="E95" s="228" t="s">
        <v>51</v>
      </c>
      <c r="F95" s="229"/>
      <c r="G95" s="230" t="s">
        <v>89</v>
      </c>
      <c r="H95" s="230"/>
      <c r="I95" s="230"/>
      <c r="J95" s="231" t="s">
        <v>104</v>
      </c>
      <c r="K95" s="231"/>
      <c r="L95" s="231"/>
      <c r="M95" s="231"/>
      <c r="N95" s="231" t="s">
        <v>105</v>
      </c>
      <c r="O95" s="231"/>
      <c r="P95" s="231"/>
      <c r="Q95" s="232"/>
      <c r="R95" s="233" t="s">
        <v>55</v>
      </c>
      <c r="S95" s="233"/>
      <c r="T95" s="233"/>
      <c r="U95" s="233"/>
      <c r="V95" s="233" t="s">
        <v>56</v>
      </c>
      <c r="W95" s="233"/>
      <c r="X95" s="233"/>
      <c r="Y95" s="233"/>
      <c r="Z95" s="234" t="s">
        <v>57</v>
      </c>
      <c r="AA95" s="231"/>
      <c r="AB95" s="231"/>
      <c r="AC95" s="231"/>
      <c r="AD95" s="231"/>
      <c r="AE95" s="231"/>
      <c r="AF95" s="235"/>
      <c r="AG95" s="26"/>
    </row>
    <row r="96" spans="2:36" ht="16.899999999999999" customHeight="1">
      <c r="B96" s="21"/>
      <c r="E96" s="236">
        <v>1</v>
      </c>
      <c r="F96" s="237"/>
      <c r="G96" s="237" t="s">
        <v>106</v>
      </c>
      <c r="H96" s="237"/>
      <c r="I96" s="238"/>
      <c r="J96" s="239"/>
      <c r="K96" s="239"/>
      <c r="L96" s="239"/>
      <c r="M96" s="239"/>
      <c r="N96" s="239"/>
      <c r="O96" s="239"/>
      <c r="P96" s="239"/>
      <c r="Q96" s="239"/>
      <c r="R96" s="240">
        <f>IFERROR(((N96-J96)/J96),0)</f>
        <v>0</v>
      </c>
      <c r="S96" s="240"/>
      <c r="T96" s="240"/>
      <c r="U96" s="240"/>
      <c r="V96" s="262">
        <f>IF((ABS(R96)&lt;=0.05),9,IF((ABS(R96)&lt;=0.1),6,1))</f>
        <v>9</v>
      </c>
      <c r="W96" s="262"/>
      <c r="X96" s="262" t="e">
        <f>(P96-J96)/J96</f>
        <v>#DIV/0!</v>
      </c>
      <c r="Y96" s="262"/>
      <c r="Z96" s="241"/>
      <c r="AA96" s="239"/>
      <c r="AB96" s="239"/>
      <c r="AC96" s="239"/>
      <c r="AD96" s="239"/>
      <c r="AE96" s="239"/>
      <c r="AF96" s="242"/>
      <c r="AG96" s="26"/>
    </row>
    <row r="97" spans="2:33" ht="16.899999999999999" customHeight="1" thickBot="1">
      <c r="B97" s="21"/>
      <c r="E97" s="257">
        <v>2</v>
      </c>
      <c r="F97" s="258"/>
      <c r="G97" s="258" t="s">
        <v>107</v>
      </c>
      <c r="H97" s="258"/>
      <c r="I97" s="259"/>
      <c r="J97" s="251"/>
      <c r="K97" s="251"/>
      <c r="L97" s="251"/>
      <c r="M97" s="251"/>
      <c r="N97" s="251"/>
      <c r="O97" s="251"/>
      <c r="P97" s="251"/>
      <c r="Q97" s="251"/>
      <c r="R97" s="260">
        <f t="shared" ref="R97" si="24">IFERROR(((N97-J97)/J97),0)</f>
        <v>0</v>
      </c>
      <c r="S97" s="260"/>
      <c r="T97" s="260"/>
      <c r="U97" s="260"/>
      <c r="V97" s="261">
        <f t="shared" ref="V97" si="25">IF((ABS(R97)&lt;=0.05),9,IF((ABS(R97)&lt;=0.1),6,1))</f>
        <v>9</v>
      </c>
      <c r="W97" s="261"/>
      <c r="X97" s="261" t="e">
        <f t="shared" ref="X97" si="26">(P97-J97)/J97</f>
        <v>#DIV/0!</v>
      </c>
      <c r="Y97" s="261"/>
      <c r="Z97" s="250"/>
      <c r="AA97" s="251"/>
      <c r="AB97" s="251"/>
      <c r="AC97" s="251"/>
      <c r="AD97" s="251"/>
      <c r="AE97" s="251"/>
      <c r="AF97" s="252"/>
      <c r="AG97" s="26"/>
    </row>
    <row r="98" spans="2:33" ht="16.899999999999999" customHeight="1">
      <c r="B98" s="2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G98" s="26"/>
    </row>
    <row r="99" spans="2:33" ht="16.899999999999999" customHeight="1">
      <c r="B99" s="21"/>
      <c r="E99" s="253" t="s">
        <v>108</v>
      </c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5"/>
      <c r="S99" s="256">
        <f>MIN(V96,V97)</f>
        <v>9</v>
      </c>
      <c r="T99" s="256"/>
      <c r="U99" s="256"/>
      <c r="V99" s="256"/>
      <c r="AG99" s="26"/>
    </row>
    <row r="100" spans="2:33" ht="16.899999999999999" customHeight="1">
      <c r="B100" s="21"/>
      <c r="AG100" s="26"/>
    </row>
    <row r="101" spans="2:33" ht="16.899999999999999" customHeight="1">
      <c r="B101" s="21"/>
      <c r="C101" s="29" t="s">
        <v>109</v>
      </c>
      <c r="E101" s="28" t="s">
        <v>110</v>
      </c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5"/>
      <c r="Q101" s="35"/>
      <c r="R101" s="35"/>
      <c r="S101" s="35"/>
      <c r="AG101" s="26"/>
    </row>
    <row r="102" spans="2:33" ht="16.899999999999999" customHeight="1" thickBot="1">
      <c r="B102" s="21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5"/>
      <c r="Q102" s="35"/>
      <c r="R102" s="35"/>
      <c r="S102" s="35"/>
      <c r="AG102" s="26"/>
    </row>
    <row r="103" spans="2:33" ht="37.15" customHeight="1" thickBot="1">
      <c r="B103" s="21"/>
      <c r="E103" s="263" t="s">
        <v>111</v>
      </c>
      <c r="F103" s="264"/>
      <c r="G103" s="264"/>
      <c r="H103" s="264"/>
      <c r="I103" s="265"/>
      <c r="J103" s="231" t="s">
        <v>112</v>
      </c>
      <c r="K103" s="231"/>
      <c r="L103" s="231"/>
      <c r="M103" s="232"/>
      <c r="N103" s="266" t="s">
        <v>56</v>
      </c>
      <c r="O103" s="266"/>
      <c r="P103" s="266"/>
      <c r="Q103" s="266"/>
      <c r="R103" s="266"/>
      <c r="S103" s="267" t="s">
        <v>57</v>
      </c>
      <c r="T103" s="268"/>
      <c r="U103" s="268"/>
      <c r="V103" s="268"/>
      <c r="W103" s="268"/>
      <c r="X103" s="269"/>
      <c r="Z103" s="29"/>
      <c r="AA103" s="29"/>
      <c r="AB103" s="29"/>
      <c r="AG103" s="26"/>
    </row>
    <row r="104" spans="2:33" ht="16.899999999999999" customHeight="1">
      <c r="B104" s="21"/>
      <c r="E104" s="282" t="s">
        <v>113</v>
      </c>
      <c r="F104" s="283"/>
      <c r="G104" s="283"/>
      <c r="H104" s="283"/>
      <c r="I104" s="284"/>
      <c r="J104" s="239"/>
      <c r="K104" s="239"/>
      <c r="L104" s="239"/>
      <c r="M104" s="239"/>
      <c r="N104" s="262">
        <f>IF(J104="No Trip",1,9)</f>
        <v>9</v>
      </c>
      <c r="O104" s="262"/>
      <c r="P104" s="262"/>
      <c r="Q104" s="262"/>
      <c r="R104" s="262"/>
      <c r="S104" s="285"/>
      <c r="T104" s="286"/>
      <c r="U104" s="286"/>
      <c r="V104" s="286"/>
      <c r="W104" s="286"/>
      <c r="X104" s="287"/>
      <c r="AG104" s="26"/>
    </row>
    <row r="105" spans="2:33" ht="16.899999999999999" customHeight="1" thickBot="1">
      <c r="B105" s="21"/>
      <c r="E105" s="288" t="s">
        <v>114</v>
      </c>
      <c r="F105" s="289"/>
      <c r="G105" s="289"/>
      <c r="H105" s="289"/>
      <c r="I105" s="290"/>
      <c r="J105" s="251"/>
      <c r="K105" s="251"/>
      <c r="L105" s="251"/>
      <c r="M105" s="251"/>
      <c r="N105" s="261">
        <f>IF(J105="Trip",1,9)</f>
        <v>9</v>
      </c>
      <c r="O105" s="261"/>
      <c r="P105" s="261"/>
      <c r="Q105" s="261"/>
      <c r="R105" s="261"/>
      <c r="S105" s="291"/>
      <c r="T105" s="292"/>
      <c r="U105" s="292"/>
      <c r="V105" s="292"/>
      <c r="W105" s="292"/>
      <c r="X105" s="293"/>
      <c r="AG105" s="26"/>
    </row>
    <row r="106" spans="2:33" ht="16.899999999999999" customHeight="1">
      <c r="B106" s="21"/>
      <c r="E106" s="39"/>
      <c r="F106" s="39"/>
      <c r="G106" s="39"/>
      <c r="H106" s="39"/>
      <c r="I106" s="39"/>
      <c r="J106" s="39"/>
      <c r="K106" s="39"/>
      <c r="L106" s="39"/>
      <c r="M106" s="39"/>
      <c r="N106" s="36"/>
      <c r="O106" s="36"/>
      <c r="P106" s="36"/>
      <c r="Q106" s="36"/>
      <c r="R106" s="36"/>
      <c r="S106" s="35"/>
      <c r="T106" s="35"/>
      <c r="U106" s="35"/>
      <c r="V106" s="35"/>
      <c r="W106" s="35"/>
      <c r="X106" s="35"/>
      <c r="AG106" s="26"/>
    </row>
    <row r="107" spans="2:33" ht="16.899999999999999" customHeight="1">
      <c r="B107" s="21"/>
      <c r="E107" s="253" t="s">
        <v>115</v>
      </c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5"/>
      <c r="S107" s="256">
        <f>MIN(N104,N105)</f>
        <v>9</v>
      </c>
      <c r="T107" s="256"/>
      <c r="U107" s="256"/>
      <c r="V107" s="256"/>
      <c r="W107" s="35"/>
      <c r="X107" s="35"/>
      <c r="AG107" s="26"/>
    </row>
    <row r="108" spans="2:33" ht="16.899999999999999" customHeight="1">
      <c r="B108" s="21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5"/>
      <c r="Q108" s="35"/>
      <c r="R108" s="35"/>
      <c r="S108" s="35"/>
      <c r="AG108" s="26"/>
    </row>
    <row r="109" spans="2:33" ht="16.899999999999999" customHeight="1">
      <c r="B109" s="21"/>
      <c r="C109" s="29" t="s">
        <v>116</v>
      </c>
      <c r="D109" s="29"/>
      <c r="E109" s="29" t="s">
        <v>117</v>
      </c>
      <c r="AG109" s="26"/>
    </row>
    <row r="110" spans="2:33" ht="16.899999999999999" customHeight="1">
      <c r="B110" s="21"/>
      <c r="E110" s="270" t="s">
        <v>118</v>
      </c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2"/>
      <c r="AG110" s="26"/>
    </row>
    <row r="111" spans="2:33" ht="16.899999999999999" customHeight="1">
      <c r="B111" s="21"/>
      <c r="E111" s="273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  <c r="AE111" s="274"/>
      <c r="AF111" s="275"/>
      <c r="AG111" s="26"/>
    </row>
    <row r="112" spans="2:33" ht="16.899999999999999" customHeight="1">
      <c r="B112" s="21"/>
      <c r="E112" s="273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  <c r="AE112" s="274"/>
      <c r="AF112" s="275"/>
      <c r="AG112" s="26"/>
    </row>
    <row r="113" spans="2:33" ht="16.899999999999999" customHeight="1">
      <c r="B113" s="21"/>
      <c r="E113" s="276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8"/>
      <c r="AG113" s="26"/>
    </row>
    <row r="114" spans="2:33" ht="16.899999999999999" customHeight="1">
      <c r="B114" s="21"/>
      <c r="AG114" s="26"/>
    </row>
    <row r="115" spans="2:33" ht="16.899999999999999" customHeight="1">
      <c r="B115" s="21"/>
      <c r="C115" s="29" t="s">
        <v>119</v>
      </c>
      <c r="D115" s="29"/>
      <c r="E115" s="29" t="s">
        <v>120</v>
      </c>
      <c r="F115" s="29"/>
      <c r="G115" s="29"/>
      <c r="H115" s="29"/>
      <c r="I115" s="29"/>
      <c r="AG115" s="26"/>
    </row>
    <row r="116" spans="2:33" ht="16.899999999999999" customHeight="1">
      <c r="B116" s="21"/>
      <c r="E116" s="253" t="s">
        <v>121</v>
      </c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5"/>
      <c r="S116" s="279">
        <f>MIN(S15,S25,S35,S45,S55,S65,S73,S81,S91,S99,S107)</f>
        <v>9</v>
      </c>
      <c r="T116" s="256"/>
      <c r="U116" s="256"/>
      <c r="V116" s="256"/>
      <c r="AG116" s="26"/>
    </row>
    <row r="117" spans="2:33" ht="16.899999999999999" customHeight="1">
      <c r="B117" s="21"/>
      <c r="AG117" s="26"/>
    </row>
    <row r="118" spans="2:33" ht="24.6" customHeight="1">
      <c r="B118" s="21"/>
      <c r="E118" s="40" t="s">
        <v>122</v>
      </c>
      <c r="F118" s="280" t="s">
        <v>123</v>
      </c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1"/>
    </row>
    <row r="119" spans="2:33" ht="16.899999999999999" customHeight="1">
      <c r="B119" s="21"/>
      <c r="C119" s="298" t="s">
        <v>19</v>
      </c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300"/>
      <c r="S119" s="301" t="s">
        <v>20</v>
      </c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26"/>
    </row>
    <row r="120" spans="2:33" ht="16.899999999999999" customHeight="1">
      <c r="B120" s="21"/>
      <c r="C120" s="41">
        <v>1</v>
      </c>
      <c r="D120" s="295" t="s">
        <v>283</v>
      </c>
      <c r="E120" s="296"/>
      <c r="F120" s="296"/>
      <c r="G120" s="296"/>
      <c r="H120" s="296"/>
      <c r="I120" s="296"/>
      <c r="J120" s="296"/>
      <c r="K120" s="296"/>
      <c r="L120" s="296"/>
      <c r="M120" s="296"/>
      <c r="N120" s="297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94"/>
      <c r="AG120" s="26"/>
    </row>
    <row r="121" spans="2:33" ht="16.899999999999999" customHeight="1">
      <c r="B121" s="21"/>
      <c r="C121" s="41">
        <v>2</v>
      </c>
      <c r="D121" s="295" t="s">
        <v>124</v>
      </c>
      <c r="E121" s="296"/>
      <c r="F121" s="296"/>
      <c r="G121" s="296"/>
      <c r="H121" s="296"/>
      <c r="I121" s="296"/>
      <c r="J121" s="296"/>
      <c r="K121" s="296"/>
      <c r="L121" s="296"/>
      <c r="M121" s="296"/>
      <c r="N121" s="297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4"/>
      <c r="AF121" s="294"/>
      <c r="AG121" s="26"/>
    </row>
    <row r="122" spans="2:33" ht="16.899999999999999" customHeight="1">
      <c r="B122" s="21"/>
      <c r="C122" s="41">
        <v>3</v>
      </c>
      <c r="D122" s="295" t="s">
        <v>125</v>
      </c>
      <c r="E122" s="296"/>
      <c r="F122" s="296"/>
      <c r="G122" s="296"/>
      <c r="H122" s="296"/>
      <c r="I122" s="296"/>
      <c r="J122" s="296"/>
      <c r="K122" s="296"/>
      <c r="L122" s="296"/>
      <c r="M122" s="296"/>
      <c r="N122" s="297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6"/>
    </row>
    <row r="123" spans="2:33" ht="16.899999999999999" customHeight="1">
      <c r="B123" s="21"/>
      <c r="C123" s="41">
        <v>4</v>
      </c>
      <c r="D123" s="295"/>
      <c r="E123" s="296"/>
      <c r="F123" s="296"/>
      <c r="G123" s="296"/>
      <c r="H123" s="296"/>
      <c r="I123" s="296"/>
      <c r="J123" s="296"/>
      <c r="K123" s="296"/>
      <c r="L123" s="296"/>
      <c r="M123" s="296"/>
      <c r="N123" s="297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6"/>
    </row>
    <row r="124" spans="2:33" ht="16.899999999999999" customHeight="1">
      <c r="B124" s="21"/>
      <c r="C124" s="41">
        <v>5</v>
      </c>
      <c r="D124" s="295"/>
      <c r="E124" s="296"/>
      <c r="F124" s="296"/>
      <c r="G124" s="296"/>
      <c r="H124" s="296"/>
      <c r="I124" s="296"/>
      <c r="J124" s="296"/>
      <c r="K124" s="296"/>
      <c r="L124" s="296"/>
      <c r="M124" s="296"/>
      <c r="N124" s="297"/>
      <c r="O124" s="294"/>
      <c r="P124" s="294"/>
      <c r="Q124" s="294"/>
      <c r="R124" s="294"/>
      <c r="S124" s="294" t="s">
        <v>288</v>
      </c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6"/>
    </row>
    <row r="125" spans="2:33" ht="16.899999999999999" customHeight="1" thickBot="1"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4"/>
    </row>
  </sheetData>
  <sheetProtection algorithmName="SHA-512" hashValue="PoMNWA2wkmt4pi/9ZhGk5NyXxnNGp4539ghdZNlqk5W89cy1hOShaVI64bhuleX16HAEA+D0qlN2xvtDVHFQ/g==" saltValue="Cpl+EIJR0JS0HMAhiDx8vQ==" spinCount="100000" sheet="1" scenarios="1"/>
  <mergeCells count="364">
    <mergeCell ref="O123:R123"/>
    <mergeCell ref="D124:N124"/>
    <mergeCell ref="O124:R124"/>
    <mergeCell ref="S124:AF124"/>
    <mergeCell ref="C119:R119"/>
    <mergeCell ref="S119:AF119"/>
    <mergeCell ref="D120:N120"/>
    <mergeCell ref="O120:R120"/>
    <mergeCell ref="S120:AF123"/>
    <mergeCell ref="D121:N121"/>
    <mergeCell ref="O121:R121"/>
    <mergeCell ref="D122:N122"/>
    <mergeCell ref="O122:R122"/>
    <mergeCell ref="D123:N123"/>
    <mergeCell ref="E107:R107"/>
    <mergeCell ref="S107:V107"/>
    <mergeCell ref="E110:AF113"/>
    <mergeCell ref="E116:R116"/>
    <mergeCell ref="S116:V116"/>
    <mergeCell ref="F118:AG118"/>
    <mergeCell ref="E104:I104"/>
    <mergeCell ref="J104:M104"/>
    <mergeCell ref="N104:R104"/>
    <mergeCell ref="S104:X104"/>
    <mergeCell ref="E105:I105"/>
    <mergeCell ref="J105:M105"/>
    <mergeCell ref="N105:R105"/>
    <mergeCell ref="S105:X105"/>
    <mergeCell ref="E99:R99"/>
    <mergeCell ref="S99:V99"/>
    <mergeCell ref="E103:I103"/>
    <mergeCell ref="J103:M103"/>
    <mergeCell ref="N103:R103"/>
    <mergeCell ref="S103:X103"/>
    <mergeCell ref="Z96:AF96"/>
    <mergeCell ref="E97:F97"/>
    <mergeCell ref="G97:I97"/>
    <mergeCell ref="J97:M97"/>
    <mergeCell ref="N97:Q97"/>
    <mergeCell ref="R97:U97"/>
    <mergeCell ref="V97:Y97"/>
    <mergeCell ref="Z97:AF97"/>
    <mergeCell ref="E96:F96"/>
    <mergeCell ref="G96:I96"/>
    <mergeCell ref="J96:M96"/>
    <mergeCell ref="N96:Q96"/>
    <mergeCell ref="R96:U96"/>
    <mergeCell ref="V96:Y96"/>
    <mergeCell ref="Z89:AF89"/>
    <mergeCell ref="E91:R91"/>
    <mergeCell ref="S91:V91"/>
    <mergeCell ref="E95:F95"/>
    <mergeCell ref="G95:I95"/>
    <mergeCell ref="J95:M95"/>
    <mergeCell ref="N95:Q95"/>
    <mergeCell ref="R95:U95"/>
    <mergeCell ref="V95:Y95"/>
    <mergeCell ref="Z95:AF95"/>
    <mergeCell ref="E89:F89"/>
    <mergeCell ref="G89:I89"/>
    <mergeCell ref="J89:M89"/>
    <mergeCell ref="N89:Q89"/>
    <mergeCell ref="R89:U89"/>
    <mergeCell ref="V89:Y89"/>
    <mergeCell ref="Z87:AF87"/>
    <mergeCell ref="E88:F88"/>
    <mergeCell ref="G88:I88"/>
    <mergeCell ref="J88:M88"/>
    <mergeCell ref="N88:Q88"/>
    <mergeCell ref="R88:U88"/>
    <mergeCell ref="V88:Y88"/>
    <mergeCell ref="Z88:AF88"/>
    <mergeCell ref="E87:F87"/>
    <mergeCell ref="G87:I87"/>
    <mergeCell ref="J87:M87"/>
    <mergeCell ref="N87:Q87"/>
    <mergeCell ref="R87:U87"/>
    <mergeCell ref="V87:Y87"/>
    <mergeCell ref="Z85:AF85"/>
    <mergeCell ref="E86:F86"/>
    <mergeCell ref="G86:I86"/>
    <mergeCell ref="J86:M86"/>
    <mergeCell ref="N86:Q86"/>
    <mergeCell ref="R86:U86"/>
    <mergeCell ref="V86:Y86"/>
    <mergeCell ref="Z86:AF86"/>
    <mergeCell ref="E81:R81"/>
    <mergeCell ref="S81:V81"/>
    <mergeCell ref="E85:F85"/>
    <mergeCell ref="G85:I85"/>
    <mergeCell ref="J85:M85"/>
    <mergeCell ref="N85:Q85"/>
    <mergeCell ref="R85:U85"/>
    <mergeCell ref="V85:Y85"/>
    <mergeCell ref="Z78:AF78"/>
    <mergeCell ref="E79:F79"/>
    <mergeCell ref="G79:I79"/>
    <mergeCell ref="J79:M79"/>
    <mergeCell ref="N79:Q79"/>
    <mergeCell ref="R79:U79"/>
    <mergeCell ref="V79:Y79"/>
    <mergeCell ref="Z79:AF79"/>
    <mergeCell ref="E78:F78"/>
    <mergeCell ref="G78:I78"/>
    <mergeCell ref="J78:M78"/>
    <mergeCell ref="N78:Q78"/>
    <mergeCell ref="R78:U78"/>
    <mergeCell ref="V78:Y78"/>
    <mergeCell ref="Z71:AF71"/>
    <mergeCell ref="E73:R73"/>
    <mergeCell ref="S73:V73"/>
    <mergeCell ref="E77:F77"/>
    <mergeCell ref="G77:I77"/>
    <mergeCell ref="J77:M77"/>
    <mergeCell ref="N77:Q77"/>
    <mergeCell ref="R77:U77"/>
    <mergeCell ref="V77:Y77"/>
    <mergeCell ref="Z77:AF77"/>
    <mergeCell ref="E71:F71"/>
    <mergeCell ref="G71:I71"/>
    <mergeCell ref="J71:M71"/>
    <mergeCell ref="N71:Q71"/>
    <mergeCell ref="R71:U71"/>
    <mergeCell ref="V71:Y71"/>
    <mergeCell ref="Z69:AF69"/>
    <mergeCell ref="E70:F70"/>
    <mergeCell ref="G70:I70"/>
    <mergeCell ref="J70:M70"/>
    <mergeCell ref="N70:Q70"/>
    <mergeCell ref="R70:U70"/>
    <mergeCell ref="V70:Y70"/>
    <mergeCell ref="Z70:AF70"/>
    <mergeCell ref="E65:R65"/>
    <mergeCell ref="S65:V65"/>
    <mergeCell ref="E69:F69"/>
    <mergeCell ref="G69:I69"/>
    <mergeCell ref="J69:M69"/>
    <mergeCell ref="N69:Q69"/>
    <mergeCell ref="R69:U69"/>
    <mergeCell ref="V69:Y69"/>
    <mergeCell ref="Z62:AF62"/>
    <mergeCell ref="E63:F63"/>
    <mergeCell ref="G63:I63"/>
    <mergeCell ref="J63:M63"/>
    <mergeCell ref="N63:Q63"/>
    <mergeCell ref="R63:U63"/>
    <mergeCell ref="V63:Y63"/>
    <mergeCell ref="Z63:AF63"/>
    <mergeCell ref="E62:F62"/>
    <mergeCell ref="G62:I62"/>
    <mergeCell ref="J62:M62"/>
    <mergeCell ref="N62:Q62"/>
    <mergeCell ref="R62:U62"/>
    <mergeCell ref="V62:Y62"/>
    <mergeCell ref="Z60:AF60"/>
    <mergeCell ref="E61:F61"/>
    <mergeCell ref="G61:I61"/>
    <mergeCell ref="J61:M61"/>
    <mergeCell ref="N61:Q61"/>
    <mergeCell ref="R61:U61"/>
    <mergeCell ref="V61:Y61"/>
    <mergeCell ref="Z61:AF61"/>
    <mergeCell ref="E60:F60"/>
    <mergeCell ref="G60:I60"/>
    <mergeCell ref="J60:M60"/>
    <mergeCell ref="N60:Q60"/>
    <mergeCell ref="R60:U60"/>
    <mergeCell ref="V60:Y60"/>
    <mergeCell ref="Z53:AF53"/>
    <mergeCell ref="E55:R55"/>
    <mergeCell ref="S55:V55"/>
    <mergeCell ref="E59:F59"/>
    <mergeCell ref="G59:I59"/>
    <mergeCell ref="J59:M59"/>
    <mergeCell ref="N59:Q59"/>
    <mergeCell ref="R59:U59"/>
    <mergeCell ref="V59:Y59"/>
    <mergeCell ref="Z59:AF59"/>
    <mergeCell ref="E53:F53"/>
    <mergeCell ref="G53:I53"/>
    <mergeCell ref="J53:M53"/>
    <mergeCell ref="N53:Q53"/>
    <mergeCell ref="R53:U53"/>
    <mergeCell ref="V53:Y53"/>
    <mergeCell ref="Z51:AF51"/>
    <mergeCell ref="E52:F52"/>
    <mergeCell ref="G52:I52"/>
    <mergeCell ref="J52:M52"/>
    <mergeCell ref="N52:Q52"/>
    <mergeCell ref="R52:U52"/>
    <mergeCell ref="V52:Y52"/>
    <mergeCell ref="Z52:AF52"/>
    <mergeCell ref="E51:F51"/>
    <mergeCell ref="G51:I51"/>
    <mergeCell ref="J51:M51"/>
    <mergeCell ref="N51:Q51"/>
    <mergeCell ref="R51:U51"/>
    <mergeCell ref="V51:Y51"/>
    <mergeCell ref="Z49:AF49"/>
    <mergeCell ref="E50:F50"/>
    <mergeCell ref="G50:I50"/>
    <mergeCell ref="J50:M50"/>
    <mergeCell ref="N50:Q50"/>
    <mergeCell ref="R50:U50"/>
    <mergeCell ref="V50:Y50"/>
    <mergeCell ref="Z50:AF50"/>
    <mergeCell ref="E45:R45"/>
    <mergeCell ref="S45:V45"/>
    <mergeCell ref="E49:F49"/>
    <mergeCell ref="G49:I49"/>
    <mergeCell ref="J49:M49"/>
    <mergeCell ref="N49:Q49"/>
    <mergeCell ref="R49:U49"/>
    <mergeCell ref="V49:Y49"/>
    <mergeCell ref="Z42:AF42"/>
    <mergeCell ref="E43:F43"/>
    <mergeCell ref="G43:I43"/>
    <mergeCell ref="J43:M43"/>
    <mergeCell ref="N43:Q43"/>
    <mergeCell ref="R43:U43"/>
    <mergeCell ref="V43:Y43"/>
    <mergeCell ref="Z43:AF43"/>
    <mergeCell ref="E42:F42"/>
    <mergeCell ref="G42:I42"/>
    <mergeCell ref="J42:M42"/>
    <mergeCell ref="N42:Q42"/>
    <mergeCell ref="R42:U42"/>
    <mergeCell ref="V42:Y42"/>
    <mergeCell ref="Z40:AF40"/>
    <mergeCell ref="E41:F41"/>
    <mergeCell ref="G41:I41"/>
    <mergeCell ref="J41:M41"/>
    <mergeCell ref="N41:Q41"/>
    <mergeCell ref="R41:U41"/>
    <mergeCell ref="V41:Y41"/>
    <mergeCell ref="Z41:AF41"/>
    <mergeCell ref="E40:F40"/>
    <mergeCell ref="G40:I40"/>
    <mergeCell ref="J40:M40"/>
    <mergeCell ref="N40:Q40"/>
    <mergeCell ref="R40:U40"/>
    <mergeCell ref="V40:Y40"/>
    <mergeCell ref="Z33:AF33"/>
    <mergeCell ref="E35:R35"/>
    <mergeCell ref="S35:V35"/>
    <mergeCell ref="E39:F39"/>
    <mergeCell ref="G39:I39"/>
    <mergeCell ref="J39:M39"/>
    <mergeCell ref="N39:Q39"/>
    <mergeCell ref="R39:U39"/>
    <mergeCell ref="V39:Y39"/>
    <mergeCell ref="Z39:AF39"/>
    <mergeCell ref="E33:F33"/>
    <mergeCell ref="G33:I33"/>
    <mergeCell ref="J33:M33"/>
    <mergeCell ref="N33:Q33"/>
    <mergeCell ref="R33:U33"/>
    <mergeCell ref="V33:Y33"/>
    <mergeCell ref="Z31:AF31"/>
    <mergeCell ref="E32:F32"/>
    <mergeCell ref="G32:I32"/>
    <mergeCell ref="J32:M32"/>
    <mergeCell ref="N32:Q32"/>
    <mergeCell ref="R32:U32"/>
    <mergeCell ref="V32:Y32"/>
    <mergeCell ref="Z32:AF32"/>
    <mergeCell ref="E31:F31"/>
    <mergeCell ref="G31:I31"/>
    <mergeCell ref="J31:M31"/>
    <mergeCell ref="N31:Q31"/>
    <mergeCell ref="R31:U31"/>
    <mergeCell ref="V31:Y31"/>
    <mergeCell ref="Z29:AF29"/>
    <mergeCell ref="E30:F30"/>
    <mergeCell ref="G30:I30"/>
    <mergeCell ref="J30:M30"/>
    <mergeCell ref="N30:Q30"/>
    <mergeCell ref="R30:U30"/>
    <mergeCell ref="V30:Y30"/>
    <mergeCell ref="Z30:AF30"/>
    <mergeCell ref="E25:R25"/>
    <mergeCell ref="S25:V25"/>
    <mergeCell ref="E29:F29"/>
    <mergeCell ref="G29:I29"/>
    <mergeCell ref="J29:M29"/>
    <mergeCell ref="N29:Q29"/>
    <mergeCell ref="R29:U29"/>
    <mergeCell ref="V29:Y29"/>
    <mergeCell ref="Z22:AF22"/>
    <mergeCell ref="E23:F23"/>
    <mergeCell ref="G23:I23"/>
    <mergeCell ref="J23:M23"/>
    <mergeCell ref="N23:Q23"/>
    <mergeCell ref="R23:U23"/>
    <mergeCell ref="V23:Y23"/>
    <mergeCell ref="Z23:AF23"/>
    <mergeCell ref="E22:F22"/>
    <mergeCell ref="G22:I22"/>
    <mergeCell ref="J22:M22"/>
    <mergeCell ref="N22:Q22"/>
    <mergeCell ref="R22:U22"/>
    <mergeCell ref="V22:Y22"/>
    <mergeCell ref="Z20:AF20"/>
    <mergeCell ref="E21:F21"/>
    <mergeCell ref="G21:I21"/>
    <mergeCell ref="J21:M21"/>
    <mergeCell ref="N21:Q21"/>
    <mergeCell ref="R21:U21"/>
    <mergeCell ref="V21:Y21"/>
    <mergeCell ref="Z21:AF21"/>
    <mergeCell ref="E20:F20"/>
    <mergeCell ref="G20:I20"/>
    <mergeCell ref="J20:M20"/>
    <mergeCell ref="N20:Q20"/>
    <mergeCell ref="R20:U20"/>
    <mergeCell ref="V20:Y20"/>
    <mergeCell ref="Z13:AF13"/>
    <mergeCell ref="E15:R15"/>
    <mergeCell ref="S15:V15"/>
    <mergeCell ref="E19:F19"/>
    <mergeCell ref="G19:I19"/>
    <mergeCell ref="J19:M19"/>
    <mergeCell ref="N19:Q19"/>
    <mergeCell ref="R19:U19"/>
    <mergeCell ref="V19:Y19"/>
    <mergeCell ref="Z19:AF19"/>
    <mergeCell ref="E13:F13"/>
    <mergeCell ref="G13:I13"/>
    <mergeCell ref="J13:M13"/>
    <mergeCell ref="N13:Q13"/>
    <mergeCell ref="R13:U13"/>
    <mergeCell ref="V13:Y13"/>
    <mergeCell ref="Z11:AF11"/>
    <mergeCell ref="E12:F12"/>
    <mergeCell ref="G12:I12"/>
    <mergeCell ref="J12:M12"/>
    <mergeCell ref="N12:Q12"/>
    <mergeCell ref="R12:U12"/>
    <mergeCell ref="V12:Y12"/>
    <mergeCell ref="Z12:AF12"/>
    <mergeCell ref="E11:F11"/>
    <mergeCell ref="G11:I11"/>
    <mergeCell ref="J11:M11"/>
    <mergeCell ref="N11:Q11"/>
    <mergeCell ref="R11:U11"/>
    <mergeCell ref="V11:Y11"/>
    <mergeCell ref="V9:Y9"/>
    <mergeCell ref="Z9:AF9"/>
    <mergeCell ref="E10:F10"/>
    <mergeCell ref="G10:I10"/>
    <mergeCell ref="J10:M10"/>
    <mergeCell ref="N10:Q10"/>
    <mergeCell ref="R10:U10"/>
    <mergeCell ref="V10:Y10"/>
    <mergeCell ref="Z10:AF10"/>
    <mergeCell ref="E4:F4"/>
    <mergeCell ref="H4:Q4"/>
    <mergeCell ref="E5:F5"/>
    <mergeCell ref="H5:Q5"/>
    <mergeCell ref="E9:F9"/>
    <mergeCell ref="G9:I9"/>
    <mergeCell ref="J9:M9"/>
    <mergeCell ref="N9:Q9"/>
    <mergeCell ref="R9:U9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3" orientation="portrait" r:id="rId1"/>
  <rowBreaks count="2" manualBreakCount="2">
    <brk id="46" min="1" max="32" man="1"/>
    <brk id="92" min="1" max="3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B70E-F395-44C6-924C-AD69A64D04F8}">
  <dimension ref="B1:AJ125"/>
  <sheetViews>
    <sheetView view="pageBreakPreview" zoomScale="90" zoomScaleNormal="100" zoomScaleSheetLayoutView="90" workbookViewId="0">
      <selection activeCell="Z89" sqref="Z89:AF89"/>
    </sheetView>
  </sheetViews>
  <sheetFormatPr defaultColWidth="8.85546875" defaultRowHeight="16.899999999999999" customHeight="1"/>
  <cols>
    <col min="1" max="1" width="4.28515625" style="17" customWidth="1"/>
    <col min="2" max="110" width="3.7109375" style="17" customWidth="1"/>
    <col min="111" max="16384" width="8.85546875" style="17"/>
  </cols>
  <sheetData>
    <row r="1" spans="2:36" ht="16.899999999999999" customHeight="1" thickBot="1"/>
    <row r="2" spans="2:36" ht="16.899999999999999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6" ht="16.899999999999999" customHeight="1">
      <c r="B3" s="21"/>
      <c r="C3" s="22"/>
      <c r="D3" s="23"/>
      <c r="E3" s="24" t="s">
        <v>47</v>
      </c>
      <c r="F3" s="24"/>
      <c r="G3" s="2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5"/>
      <c r="AG3" s="26"/>
    </row>
    <row r="4" spans="2:36" ht="16.899999999999999" customHeight="1">
      <c r="B4" s="21"/>
      <c r="C4" s="27"/>
      <c r="E4" s="224" t="s">
        <v>3</v>
      </c>
      <c r="F4" s="224"/>
      <c r="G4" s="29" t="s">
        <v>4</v>
      </c>
      <c r="H4" s="225" t="s">
        <v>5</v>
      </c>
      <c r="I4" s="225"/>
      <c r="J4" s="225"/>
      <c r="K4" s="225"/>
      <c r="L4" s="225"/>
      <c r="M4" s="225"/>
      <c r="N4" s="225"/>
      <c r="O4" s="225"/>
      <c r="P4" s="225"/>
      <c r="Q4" s="225"/>
      <c r="AF4" s="30"/>
      <c r="AG4" s="26"/>
    </row>
    <row r="5" spans="2:36" ht="16.899999999999999" customHeight="1">
      <c r="B5" s="21"/>
      <c r="C5" s="31"/>
      <c r="D5" s="32"/>
      <c r="E5" s="226" t="s">
        <v>48</v>
      </c>
      <c r="F5" s="226"/>
      <c r="G5" s="33" t="s">
        <v>4</v>
      </c>
      <c r="H5" s="227" t="s">
        <v>5</v>
      </c>
      <c r="I5" s="227"/>
      <c r="J5" s="227"/>
      <c r="K5" s="227"/>
      <c r="L5" s="227"/>
      <c r="M5" s="227"/>
      <c r="N5" s="227"/>
      <c r="O5" s="227"/>
      <c r="P5" s="227"/>
      <c r="Q5" s="227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4"/>
      <c r="AG5" s="26"/>
    </row>
    <row r="6" spans="2:36" ht="16.899999999999999" customHeight="1">
      <c r="B6" s="21"/>
      <c r="AG6" s="26"/>
    </row>
    <row r="7" spans="2:36" ht="16.899999999999999" customHeight="1">
      <c r="B7" s="21"/>
      <c r="C7" s="29" t="s">
        <v>49</v>
      </c>
      <c r="D7" s="29"/>
      <c r="E7" s="29" t="s">
        <v>50</v>
      </c>
      <c r="AG7" s="26"/>
      <c r="AJ7"/>
    </row>
    <row r="8" spans="2:36" ht="16.899999999999999" customHeight="1" thickBot="1">
      <c r="B8" s="21"/>
      <c r="AG8" s="26"/>
    </row>
    <row r="9" spans="2:36" ht="37.15" customHeight="1" thickBot="1">
      <c r="B9" s="21"/>
      <c r="E9" s="228" t="s">
        <v>51</v>
      </c>
      <c r="F9" s="229"/>
      <c r="G9" s="230" t="s">
        <v>52</v>
      </c>
      <c r="H9" s="230"/>
      <c r="I9" s="230"/>
      <c r="J9" s="231" t="s">
        <v>53</v>
      </c>
      <c r="K9" s="231"/>
      <c r="L9" s="231"/>
      <c r="M9" s="231"/>
      <c r="N9" s="231" t="s">
        <v>54</v>
      </c>
      <c r="O9" s="231"/>
      <c r="P9" s="231"/>
      <c r="Q9" s="232"/>
      <c r="R9" s="233" t="s">
        <v>55</v>
      </c>
      <c r="S9" s="233"/>
      <c r="T9" s="233"/>
      <c r="U9" s="233"/>
      <c r="V9" s="233" t="s">
        <v>56</v>
      </c>
      <c r="W9" s="233"/>
      <c r="X9" s="233"/>
      <c r="Y9" s="233"/>
      <c r="Z9" s="234" t="s">
        <v>57</v>
      </c>
      <c r="AA9" s="231"/>
      <c r="AB9" s="231"/>
      <c r="AC9" s="231"/>
      <c r="AD9" s="231"/>
      <c r="AE9" s="231"/>
      <c r="AF9" s="235"/>
      <c r="AG9" s="26"/>
    </row>
    <row r="10" spans="2:36" ht="16.899999999999999" customHeight="1">
      <c r="B10" s="21"/>
      <c r="E10" s="236">
        <v>1</v>
      </c>
      <c r="F10" s="237"/>
      <c r="G10" s="237" t="s">
        <v>58</v>
      </c>
      <c r="H10" s="237"/>
      <c r="I10" s="238"/>
      <c r="J10" s="239">
        <v>0.18</v>
      </c>
      <c r="K10" s="239"/>
      <c r="L10" s="239"/>
      <c r="M10" s="239"/>
      <c r="N10" s="239">
        <v>0.18</v>
      </c>
      <c r="O10" s="239"/>
      <c r="P10" s="239"/>
      <c r="Q10" s="239"/>
      <c r="R10" s="240">
        <f>IFERROR(((N10-J10)/J10),0)</f>
        <v>0</v>
      </c>
      <c r="S10" s="240"/>
      <c r="T10" s="240"/>
      <c r="U10" s="240"/>
      <c r="V10" s="237"/>
      <c r="W10" s="237"/>
      <c r="X10" s="237"/>
      <c r="Y10" s="237"/>
      <c r="Z10" s="241" t="s">
        <v>379</v>
      </c>
      <c r="AA10" s="239"/>
      <c r="AB10" s="239"/>
      <c r="AC10" s="239"/>
      <c r="AD10" s="239"/>
      <c r="AE10" s="239"/>
      <c r="AF10" s="242"/>
      <c r="AG10" s="26"/>
    </row>
    <row r="11" spans="2:36" ht="16.899999999999999" customHeight="1">
      <c r="B11" s="21"/>
      <c r="E11" s="246">
        <v>2</v>
      </c>
      <c r="F11" s="247"/>
      <c r="G11" s="247" t="s">
        <v>60</v>
      </c>
      <c r="H11" s="247"/>
      <c r="I11" s="248"/>
      <c r="J11" s="244">
        <v>0.18</v>
      </c>
      <c r="K11" s="244"/>
      <c r="L11" s="244"/>
      <c r="M11" s="244"/>
      <c r="N11" s="244">
        <v>0.18</v>
      </c>
      <c r="O11" s="244"/>
      <c r="P11" s="244"/>
      <c r="Q11" s="244"/>
      <c r="R11" s="249">
        <f t="shared" ref="R11:R13" si="0">IFERROR(((N11-J11)/J11),0)</f>
        <v>0</v>
      </c>
      <c r="S11" s="249"/>
      <c r="T11" s="249"/>
      <c r="U11" s="249"/>
      <c r="V11" s="247"/>
      <c r="W11" s="247"/>
      <c r="X11" s="247"/>
      <c r="Y11" s="247"/>
      <c r="Z11" s="243" t="s">
        <v>380</v>
      </c>
      <c r="AA11" s="244"/>
      <c r="AB11" s="244"/>
      <c r="AC11" s="244"/>
      <c r="AD11" s="244"/>
      <c r="AE11" s="244"/>
      <c r="AF11" s="245"/>
      <c r="AG11" s="26"/>
    </row>
    <row r="12" spans="2:36" ht="16.899999999999999" customHeight="1">
      <c r="B12" s="21"/>
      <c r="E12" s="246">
        <v>3</v>
      </c>
      <c r="F12" s="247"/>
      <c r="G12" s="247" t="s">
        <v>62</v>
      </c>
      <c r="H12" s="247"/>
      <c r="I12" s="248"/>
      <c r="J12" s="244">
        <v>0.18</v>
      </c>
      <c r="K12" s="244"/>
      <c r="L12" s="244"/>
      <c r="M12" s="244"/>
      <c r="N12" s="244">
        <v>0.18</v>
      </c>
      <c r="O12" s="244"/>
      <c r="P12" s="244"/>
      <c r="Q12" s="244"/>
      <c r="R12" s="249">
        <f t="shared" si="0"/>
        <v>0</v>
      </c>
      <c r="S12" s="249"/>
      <c r="T12" s="249"/>
      <c r="U12" s="249"/>
      <c r="V12" s="247"/>
      <c r="W12" s="247"/>
      <c r="X12" s="247"/>
      <c r="Y12" s="247"/>
      <c r="Z12" s="243" t="s">
        <v>381</v>
      </c>
      <c r="AA12" s="244"/>
      <c r="AB12" s="244"/>
      <c r="AC12" s="244"/>
      <c r="AD12" s="244"/>
      <c r="AE12" s="244"/>
      <c r="AF12" s="245"/>
      <c r="AG12" s="26"/>
    </row>
    <row r="13" spans="2:36" ht="16.899999999999999" customHeight="1" thickBot="1">
      <c r="B13" s="21"/>
      <c r="E13" s="257">
        <v>4</v>
      </c>
      <c r="F13" s="258"/>
      <c r="G13" s="258" t="s">
        <v>64</v>
      </c>
      <c r="H13" s="258"/>
      <c r="I13" s="259"/>
      <c r="J13" s="251">
        <v>0.18</v>
      </c>
      <c r="K13" s="251"/>
      <c r="L13" s="251"/>
      <c r="M13" s="251"/>
      <c r="N13" s="251">
        <v>0.18</v>
      </c>
      <c r="O13" s="251"/>
      <c r="P13" s="251"/>
      <c r="Q13" s="251"/>
      <c r="R13" s="260">
        <f t="shared" si="0"/>
        <v>0</v>
      </c>
      <c r="S13" s="260"/>
      <c r="T13" s="260"/>
      <c r="U13" s="260"/>
      <c r="V13" s="261">
        <f>IF((ABS(R13)&lt;=0.05),9,IF((ABS(R13)&lt;=0.1),6,1))</f>
        <v>9</v>
      </c>
      <c r="W13" s="261"/>
      <c r="X13" s="261">
        <f t="shared" ref="X13" si="1">(P13-J13)/J13</f>
        <v>-1</v>
      </c>
      <c r="Y13" s="261"/>
      <c r="Z13" s="250" t="s">
        <v>378</v>
      </c>
      <c r="AA13" s="251"/>
      <c r="AB13" s="251"/>
      <c r="AC13" s="251"/>
      <c r="AD13" s="251"/>
      <c r="AE13" s="251"/>
      <c r="AF13" s="252"/>
      <c r="AG13" s="26"/>
    </row>
    <row r="14" spans="2:36" ht="16.899999999999999" customHeight="1">
      <c r="B14" s="21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G14" s="26"/>
    </row>
    <row r="15" spans="2:36" ht="16.899999999999999" customHeight="1">
      <c r="B15" s="21"/>
      <c r="E15" s="253" t="s">
        <v>66</v>
      </c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5"/>
      <c r="S15" s="256">
        <f>MIN(V10,V11,V12,V13)</f>
        <v>9</v>
      </c>
      <c r="T15" s="256"/>
      <c r="U15" s="256"/>
      <c r="V15" s="256"/>
      <c r="AG15" s="26"/>
    </row>
    <row r="16" spans="2:36" ht="16.899999999999999" customHeight="1">
      <c r="B16" s="21"/>
      <c r="AG16" s="26"/>
    </row>
    <row r="17" spans="2:36" ht="16.899999999999999" customHeight="1">
      <c r="B17" s="21"/>
      <c r="C17" s="29" t="s">
        <v>67</v>
      </c>
      <c r="D17" s="29"/>
      <c r="E17" s="29" t="s">
        <v>68</v>
      </c>
      <c r="AG17" s="26"/>
      <c r="AJ17"/>
    </row>
    <row r="18" spans="2:36" ht="16.899999999999999" customHeight="1" thickBot="1">
      <c r="B18" s="21"/>
      <c r="AG18" s="26"/>
    </row>
    <row r="19" spans="2:36" ht="37.15" customHeight="1" thickBot="1">
      <c r="B19" s="21"/>
      <c r="E19" s="228" t="s">
        <v>51</v>
      </c>
      <c r="F19" s="229"/>
      <c r="G19" s="230" t="s">
        <v>52</v>
      </c>
      <c r="H19" s="230"/>
      <c r="I19" s="230"/>
      <c r="J19" s="231" t="s">
        <v>69</v>
      </c>
      <c r="K19" s="231"/>
      <c r="L19" s="231"/>
      <c r="M19" s="231"/>
      <c r="N19" s="231" t="s">
        <v>70</v>
      </c>
      <c r="O19" s="231"/>
      <c r="P19" s="231"/>
      <c r="Q19" s="232"/>
      <c r="R19" s="233" t="s">
        <v>55</v>
      </c>
      <c r="S19" s="233"/>
      <c r="T19" s="233"/>
      <c r="U19" s="233"/>
      <c r="V19" s="233" t="s">
        <v>56</v>
      </c>
      <c r="W19" s="233"/>
      <c r="X19" s="233"/>
      <c r="Y19" s="233"/>
      <c r="Z19" s="234" t="s">
        <v>57</v>
      </c>
      <c r="AA19" s="231"/>
      <c r="AB19" s="231"/>
      <c r="AC19" s="231"/>
      <c r="AD19" s="231"/>
      <c r="AE19" s="231"/>
      <c r="AF19" s="235"/>
      <c r="AG19" s="26"/>
    </row>
    <row r="20" spans="2:36" ht="16.899999999999999" customHeight="1" thickBot="1">
      <c r="B20" s="21"/>
      <c r="E20" s="236">
        <v>1</v>
      </c>
      <c r="F20" s="237"/>
      <c r="G20" s="237" t="s">
        <v>58</v>
      </c>
      <c r="H20" s="237"/>
      <c r="I20" s="238"/>
      <c r="J20" s="239">
        <v>0</v>
      </c>
      <c r="K20" s="239"/>
      <c r="L20" s="239"/>
      <c r="M20" s="239"/>
      <c r="N20" s="239">
        <v>3.2000000000000001E-2</v>
      </c>
      <c r="O20" s="239"/>
      <c r="P20" s="239"/>
      <c r="Q20" s="239"/>
      <c r="R20" s="240">
        <f>ABS(N20)</f>
        <v>3.2000000000000001E-2</v>
      </c>
      <c r="S20" s="240"/>
      <c r="T20" s="240"/>
      <c r="U20" s="240"/>
      <c r="V20" s="261">
        <f t="shared" ref="V20:V23" si="2">IF((ABS(R20)&lt;=0.05),9,IF((ABS(R20)&lt;=0.1),6,1))</f>
        <v>9</v>
      </c>
      <c r="W20" s="261"/>
      <c r="X20" s="261" t="e">
        <f t="shared" ref="X20:X23" si="3">(P20-J20)/J20</f>
        <v>#DIV/0!</v>
      </c>
      <c r="Y20" s="261"/>
      <c r="Z20" s="241" t="s">
        <v>379</v>
      </c>
      <c r="AA20" s="239"/>
      <c r="AB20" s="239"/>
      <c r="AC20" s="239"/>
      <c r="AD20" s="239"/>
      <c r="AE20" s="239"/>
      <c r="AF20" s="242"/>
      <c r="AG20" s="26"/>
    </row>
    <row r="21" spans="2:36" ht="16.899999999999999" customHeight="1" thickBot="1">
      <c r="B21" s="21"/>
      <c r="E21" s="246">
        <v>2</v>
      </c>
      <c r="F21" s="247"/>
      <c r="G21" s="247" t="s">
        <v>60</v>
      </c>
      <c r="H21" s="247"/>
      <c r="I21" s="248"/>
      <c r="J21" s="244">
        <v>0</v>
      </c>
      <c r="K21" s="244"/>
      <c r="L21" s="244"/>
      <c r="M21" s="244"/>
      <c r="N21" s="244">
        <v>3.1E-2</v>
      </c>
      <c r="O21" s="244"/>
      <c r="P21" s="244"/>
      <c r="Q21" s="244"/>
      <c r="R21" s="249">
        <f t="shared" ref="R21:R23" si="4">ABS(N21)</f>
        <v>3.1E-2</v>
      </c>
      <c r="S21" s="249"/>
      <c r="T21" s="249"/>
      <c r="U21" s="249"/>
      <c r="V21" s="261">
        <f t="shared" si="2"/>
        <v>9</v>
      </c>
      <c r="W21" s="261"/>
      <c r="X21" s="261" t="e">
        <f t="shared" si="3"/>
        <v>#DIV/0!</v>
      </c>
      <c r="Y21" s="261"/>
      <c r="Z21" s="243" t="s">
        <v>380</v>
      </c>
      <c r="AA21" s="244"/>
      <c r="AB21" s="244"/>
      <c r="AC21" s="244"/>
      <c r="AD21" s="244"/>
      <c r="AE21" s="244"/>
      <c r="AF21" s="245"/>
      <c r="AG21" s="26"/>
    </row>
    <row r="22" spans="2:36" ht="16.899999999999999" customHeight="1" thickBot="1">
      <c r="B22" s="21"/>
      <c r="E22" s="246">
        <v>3</v>
      </c>
      <c r="F22" s="247"/>
      <c r="G22" s="247" t="s">
        <v>62</v>
      </c>
      <c r="H22" s="247"/>
      <c r="I22" s="248"/>
      <c r="J22" s="244">
        <v>0</v>
      </c>
      <c r="K22" s="244"/>
      <c r="L22" s="244"/>
      <c r="M22" s="244"/>
      <c r="N22" s="244">
        <v>3.5999999999999997E-2</v>
      </c>
      <c r="O22" s="244"/>
      <c r="P22" s="244"/>
      <c r="Q22" s="244"/>
      <c r="R22" s="249">
        <f t="shared" si="4"/>
        <v>3.5999999999999997E-2</v>
      </c>
      <c r="S22" s="249"/>
      <c r="T22" s="249"/>
      <c r="U22" s="249"/>
      <c r="V22" s="261">
        <f t="shared" si="2"/>
        <v>9</v>
      </c>
      <c r="W22" s="261"/>
      <c r="X22" s="261" t="e">
        <f t="shared" si="3"/>
        <v>#DIV/0!</v>
      </c>
      <c r="Y22" s="261"/>
      <c r="Z22" s="243" t="s">
        <v>381</v>
      </c>
      <c r="AA22" s="244"/>
      <c r="AB22" s="244"/>
      <c r="AC22" s="244"/>
      <c r="AD22" s="244"/>
      <c r="AE22" s="244"/>
      <c r="AF22" s="245"/>
      <c r="AG22" s="26"/>
    </row>
    <row r="23" spans="2:36" ht="16.899999999999999" customHeight="1" thickBot="1">
      <c r="B23" s="21"/>
      <c r="E23" s="257">
        <v>4</v>
      </c>
      <c r="F23" s="258"/>
      <c r="G23" s="258" t="s">
        <v>64</v>
      </c>
      <c r="H23" s="258"/>
      <c r="I23" s="259"/>
      <c r="J23" s="251">
        <v>0</v>
      </c>
      <c r="K23" s="251"/>
      <c r="L23" s="251"/>
      <c r="M23" s="251"/>
      <c r="N23" s="251">
        <v>3.6999999999999998E-2</v>
      </c>
      <c r="O23" s="251"/>
      <c r="P23" s="251"/>
      <c r="Q23" s="251"/>
      <c r="R23" s="260">
        <f t="shared" si="4"/>
        <v>3.6999999999999998E-2</v>
      </c>
      <c r="S23" s="260"/>
      <c r="T23" s="260"/>
      <c r="U23" s="260"/>
      <c r="V23" s="261">
        <f t="shared" si="2"/>
        <v>9</v>
      </c>
      <c r="W23" s="261"/>
      <c r="X23" s="261" t="e">
        <f t="shared" si="3"/>
        <v>#DIV/0!</v>
      </c>
      <c r="Y23" s="261"/>
      <c r="Z23" s="250" t="s">
        <v>378</v>
      </c>
      <c r="AA23" s="251"/>
      <c r="AB23" s="251"/>
      <c r="AC23" s="251"/>
      <c r="AD23" s="251"/>
      <c r="AE23" s="251"/>
      <c r="AF23" s="252"/>
      <c r="AG23" s="26"/>
    </row>
    <row r="24" spans="2:36" ht="16.899999999999999" customHeight="1">
      <c r="B24" s="21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G24" s="26"/>
    </row>
    <row r="25" spans="2:36" ht="16.899999999999999" customHeight="1">
      <c r="B25" s="21"/>
      <c r="E25" s="253" t="s">
        <v>71</v>
      </c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5"/>
      <c r="S25" s="256">
        <f>MIN(V20,V21,V22,V23)</f>
        <v>9</v>
      </c>
      <c r="T25" s="256"/>
      <c r="U25" s="256"/>
      <c r="V25" s="256"/>
      <c r="AG25" s="26"/>
    </row>
    <row r="26" spans="2:36" ht="16.899999999999999" customHeight="1">
      <c r="B26" s="21"/>
      <c r="AG26" s="26"/>
    </row>
    <row r="27" spans="2:36" ht="16.899999999999999" customHeight="1">
      <c r="B27" s="21"/>
      <c r="C27" s="29" t="s">
        <v>72</v>
      </c>
      <c r="D27" s="29"/>
      <c r="E27" s="29" t="s">
        <v>73</v>
      </c>
      <c r="AG27" s="26"/>
      <c r="AJ27"/>
    </row>
    <row r="28" spans="2:36" ht="16.899999999999999" customHeight="1" thickBot="1">
      <c r="B28" s="21"/>
      <c r="AG28" s="26"/>
    </row>
    <row r="29" spans="2:36" ht="37.15" customHeight="1" thickBot="1">
      <c r="B29" s="21"/>
      <c r="E29" s="228" t="s">
        <v>51</v>
      </c>
      <c r="F29" s="229"/>
      <c r="G29" s="230" t="s">
        <v>52</v>
      </c>
      <c r="H29" s="230"/>
      <c r="I29" s="230"/>
      <c r="J29" s="231" t="s">
        <v>53</v>
      </c>
      <c r="K29" s="231"/>
      <c r="L29" s="231"/>
      <c r="M29" s="231"/>
      <c r="N29" s="231" t="s">
        <v>54</v>
      </c>
      <c r="O29" s="231"/>
      <c r="P29" s="231"/>
      <c r="Q29" s="232"/>
      <c r="R29" s="233" t="s">
        <v>55</v>
      </c>
      <c r="S29" s="233"/>
      <c r="T29" s="233"/>
      <c r="U29" s="233"/>
      <c r="V29" s="233" t="s">
        <v>56</v>
      </c>
      <c r="W29" s="233"/>
      <c r="X29" s="233"/>
      <c r="Y29" s="233"/>
      <c r="Z29" s="234" t="s">
        <v>57</v>
      </c>
      <c r="AA29" s="231"/>
      <c r="AB29" s="231"/>
      <c r="AC29" s="231"/>
      <c r="AD29" s="231"/>
      <c r="AE29" s="231"/>
      <c r="AF29" s="235"/>
      <c r="AG29" s="26"/>
    </row>
    <row r="30" spans="2:36" ht="16.899999999999999" customHeight="1">
      <c r="B30" s="21"/>
      <c r="E30" s="236">
        <v>1</v>
      </c>
      <c r="F30" s="237"/>
      <c r="G30" s="237" t="s">
        <v>58</v>
      </c>
      <c r="H30" s="237"/>
      <c r="I30" s="238"/>
      <c r="J30" s="239">
        <v>0.3</v>
      </c>
      <c r="K30" s="239"/>
      <c r="L30" s="239"/>
      <c r="M30" s="239"/>
      <c r="N30" s="239">
        <v>0.30099999999999999</v>
      </c>
      <c r="O30" s="239"/>
      <c r="P30" s="239"/>
      <c r="Q30" s="239"/>
      <c r="R30" s="240">
        <f>IFERROR(((N30-J30)/J30),0)</f>
        <v>3.3333333333333366E-3</v>
      </c>
      <c r="S30" s="240"/>
      <c r="T30" s="240"/>
      <c r="U30" s="240"/>
      <c r="V30" s="237"/>
      <c r="W30" s="237"/>
      <c r="X30" s="237"/>
      <c r="Y30" s="237"/>
      <c r="Z30" s="241" t="s">
        <v>379</v>
      </c>
      <c r="AA30" s="239"/>
      <c r="AB30" s="239"/>
      <c r="AC30" s="239"/>
      <c r="AD30" s="239"/>
      <c r="AE30" s="239"/>
      <c r="AF30" s="242"/>
      <c r="AG30" s="26"/>
    </row>
    <row r="31" spans="2:36" ht="16.899999999999999" customHeight="1">
      <c r="B31" s="21"/>
      <c r="E31" s="246">
        <v>2</v>
      </c>
      <c r="F31" s="247"/>
      <c r="G31" s="247" t="s">
        <v>60</v>
      </c>
      <c r="H31" s="247"/>
      <c r="I31" s="248"/>
      <c r="J31" s="244">
        <v>0.3</v>
      </c>
      <c r="K31" s="244"/>
      <c r="L31" s="244"/>
      <c r="M31" s="244"/>
      <c r="N31" s="244">
        <v>0.30099999999999999</v>
      </c>
      <c r="O31" s="244"/>
      <c r="P31" s="244"/>
      <c r="Q31" s="244"/>
      <c r="R31" s="249">
        <f t="shared" ref="R31:R33" si="5">IFERROR(((N31-J31)/J31),0)</f>
        <v>3.3333333333333366E-3</v>
      </c>
      <c r="S31" s="249"/>
      <c r="T31" s="249"/>
      <c r="U31" s="249"/>
      <c r="V31" s="247"/>
      <c r="W31" s="247"/>
      <c r="X31" s="247"/>
      <c r="Y31" s="247"/>
      <c r="Z31" s="243" t="s">
        <v>380</v>
      </c>
      <c r="AA31" s="244"/>
      <c r="AB31" s="244"/>
      <c r="AC31" s="244"/>
      <c r="AD31" s="244"/>
      <c r="AE31" s="244"/>
      <c r="AF31" s="245"/>
      <c r="AG31" s="26"/>
    </row>
    <row r="32" spans="2:36" ht="16.899999999999999" customHeight="1">
      <c r="B32" s="21"/>
      <c r="E32" s="246">
        <v>3</v>
      </c>
      <c r="F32" s="247"/>
      <c r="G32" s="247" t="s">
        <v>62</v>
      </c>
      <c r="H32" s="247"/>
      <c r="I32" s="248"/>
      <c r="J32" s="244">
        <v>0.3</v>
      </c>
      <c r="K32" s="244"/>
      <c r="L32" s="244"/>
      <c r="M32" s="244"/>
      <c r="N32" s="244">
        <v>0.30099999999999999</v>
      </c>
      <c r="O32" s="244"/>
      <c r="P32" s="244"/>
      <c r="Q32" s="244"/>
      <c r="R32" s="249">
        <f t="shared" si="5"/>
        <v>3.3333333333333366E-3</v>
      </c>
      <c r="S32" s="249"/>
      <c r="T32" s="249"/>
      <c r="U32" s="249"/>
      <c r="V32" s="247"/>
      <c r="W32" s="247"/>
      <c r="X32" s="247"/>
      <c r="Y32" s="247"/>
      <c r="Z32" s="243" t="s">
        <v>381</v>
      </c>
      <c r="AA32" s="244"/>
      <c r="AB32" s="244"/>
      <c r="AC32" s="244"/>
      <c r="AD32" s="244"/>
      <c r="AE32" s="244"/>
      <c r="AF32" s="245"/>
      <c r="AG32" s="26"/>
    </row>
    <row r="33" spans="2:36" ht="16.899999999999999" customHeight="1" thickBot="1">
      <c r="B33" s="21"/>
      <c r="E33" s="257">
        <v>4</v>
      </c>
      <c r="F33" s="258"/>
      <c r="G33" s="258" t="s">
        <v>64</v>
      </c>
      <c r="H33" s="258"/>
      <c r="I33" s="259"/>
      <c r="J33" s="251">
        <v>0.3</v>
      </c>
      <c r="K33" s="251"/>
      <c r="L33" s="251"/>
      <c r="M33" s="251"/>
      <c r="N33" s="251">
        <v>0.30099999999999999</v>
      </c>
      <c r="O33" s="251"/>
      <c r="P33" s="251"/>
      <c r="Q33" s="251"/>
      <c r="R33" s="260">
        <f t="shared" si="5"/>
        <v>3.3333333333333366E-3</v>
      </c>
      <c r="S33" s="260"/>
      <c r="T33" s="260"/>
      <c r="U33" s="260"/>
      <c r="V33" s="261">
        <f t="shared" ref="V33" si="6">IF((ABS(R33)&lt;=0.05),9,IF((ABS(R33)&lt;=0.1),6,1))</f>
        <v>9</v>
      </c>
      <c r="W33" s="261"/>
      <c r="X33" s="261">
        <f t="shared" ref="X33" si="7">(P33-J33)/J33</f>
        <v>-1</v>
      </c>
      <c r="Y33" s="261"/>
      <c r="Z33" s="250" t="s">
        <v>378</v>
      </c>
      <c r="AA33" s="251"/>
      <c r="AB33" s="251"/>
      <c r="AC33" s="251"/>
      <c r="AD33" s="251"/>
      <c r="AE33" s="251"/>
      <c r="AF33" s="252"/>
      <c r="AG33" s="26"/>
    </row>
    <row r="34" spans="2:36" ht="16.899999999999999" customHeight="1">
      <c r="B34" s="21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G34" s="26"/>
    </row>
    <row r="35" spans="2:36" ht="16.899999999999999" customHeight="1">
      <c r="B35" s="21"/>
      <c r="E35" s="253" t="s">
        <v>74</v>
      </c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5"/>
      <c r="S35" s="256">
        <f>MIN(V30,V31,V32,V33)</f>
        <v>9</v>
      </c>
      <c r="T35" s="256"/>
      <c r="U35" s="256"/>
      <c r="V35" s="256"/>
      <c r="AG35" s="26"/>
    </row>
    <row r="36" spans="2:36" ht="16.899999999999999" customHeight="1">
      <c r="B36" s="21"/>
      <c r="AG36" s="26"/>
    </row>
    <row r="37" spans="2:36" ht="16.899999999999999" customHeight="1">
      <c r="B37" s="21"/>
      <c r="C37" s="29" t="s">
        <v>75</v>
      </c>
      <c r="D37" s="29"/>
      <c r="E37" s="29" t="s">
        <v>76</v>
      </c>
      <c r="AG37" s="26"/>
      <c r="AJ37"/>
    </row>
    <row r="38" spans="2:36" ht="16.899999999999999" customHeight="1" thickBot="1">
      <c r="B38" s="21"/>
      <c r="AG38" s="26"/>
    </row>
    <row r="39" spans="2:36" ht="37.15" customHeight="1" thickBot="1">
      <c r="B39" s="21"/>
      <c r="E39" s="228" t="s">
        <v>51</v>
      </c>
      <c r="F39" s="229"/>
      <c r="G39" s="230" t="s">
        <v>52</v>
      </c>
      <c r="H39" s="230"/>
      <c r="I39" s="230"/>
      <c r="J39" s="231" t="s">
        <v>69</v>
      </c>
      <c r="K39" s="231"/>
      <c r="L39" s="231"/>
      <c r="M39" s="231"/>
      <c r="N39" s="231" t="s">
        <v>70</v>
      </c>
      <c r="O39" s="231"/>
      <c r="P39" s="231"/>
      <c r="Q39" s="232"/>
      <c r="R39" s="233" t="s">
        <v>55</v>
      </c>
      <c r="S39" s="233"/>
      <c r="T39" s="233"/>
      <c r="U39" s="233"/>
      <c r="V39" s="233" t="s">
        <v>56</v>
      </c>
      <c r="W39" s="233"/>
      <c r="X39" s="233"/>
      <c r="Y39" s="233"/>
      <c r="Z39" s="234" t="s">
        <v>57</v>
      </c>
      <c r="AA39" s="231"/>
      <c r="AB39" s="231"/>
      <c r="AC39" s="231"/>
      <c r="AD39" s="231"/>
      <c r="AE39" s="231"/>
      <c r="AF39" s="235"/>
      <c r="AG39" s="26"/>
    </row>
    <row r="40" spans="2:36" ht="16.899999999999999" customHeight="1">
      <c r="B40" s="21"/>
      <c r="E40" s="236">
        <v>1</v>
      </c>
      <c r="F40" s="237"/>
      <c r="G40" s="237" t="s">
        <v>77</v>
      </c>
      <c r="H40" s="237"/>
      <c r="I40" s="238"/>
      <c r="J40" s="239">
        <v>0</v>
      </c>
      <c r="K40" s="239"/>
      <c r="L40" s="239"/>
      <c r="M40" s="239"/>
      <c r="N40" s="239">
        <v>0.03</v>
      </c>
      <c r="O40" s="239"/>
      <c r="P40" s="239"/>
      <c r="Q40" s="239"/>
      <c r="R40" s="240">
        <f>ABS(N40)</f>
        <v>0.03</v>
      </c>
      <c r="S40" s="240"/>
      <c r="T40" s="240"/>
      <c r="U40" s="240"/>
      <c r="V40" s="262">
        <f>IF((ABS(R40)&lt;=0.05),9,IF((ABS(R40)&lt;=0.1),6,1))</f>
        <v>9</v>
      </c>
      <c r="W40" s="262"/>
      <c r="X40" s="262" t="e">
        <f>(P40-J40)/J40</f>
        <v>#DIV/0!</v>
      </c>
      <c r="Y40" s="262"/>
      <c r="Z40" s="241" t="s">
        <v>379</v>
      </c>
      <c r="AA40" s="239"/>
      <c r="AB40" s="239"/>
      <c r="AC40" s="239"/>
      <c r="AD40" s="239"/>
      <c r="AE40" s="239"/>
      <c r="AF40" s="242"/>
      <c r="AG40" s="26"/>
    </row>
    <row r="41" spans="2:36" ht="16.899999999999999" customHeight="1">
      <c r="B41" s="21"/>
      <c r="E41" s="246">
        <v>2</v>
      </c>
      <c r="F41" s="247"/>
      <c r="G41" s="247" t="s">
        <v>78</v>
      </c>
      <c r="H41" s="247"/>
      <c r="I41" s="248"/>
      <c r="J41" s="244">
        <v>0</v>
      </c>
      <c r="K41" s="244"/>
      <c r="L41" s="244"/>
      <c r="M41" s="244"/>
      <c r="N41" s="244">
        <v>0.03</v>
      </c>
      <c r="O41" s="244"/>
      <c r="P41" s="244"/>
      <c r="Q41" s="244"/>
      <c r="R41" s="249">
        <f t="shared" ref="R41:R43" si="8">ABS(N41)</f>
        <v>0.03</v>
      </c>
      <c r="S41" s="249"/>
      <c r="T41" s="249"/>
      <c r="U41" s="249"/>
      <c r="V41" s="256">
        <f t="shared" ref="V41:V43" si="9">IF((ABS(R41)&lt;=0.05),9,IF((ABS(R41)&lt;=0.1),6,1))</f>
        <v>9</v>
      </c>
      <c r="W41" s="256"/>
      <c r="X41" s="256" t="e">
        <f t="shared" ref="X41:X43" si="10">(P41-J41)/J41</f>
        <v>#DIV/0!</v>
      </c>
      <c r="Y41" s="256"/>
      <c r="Z41" s="243" t="s">
        <v>380</v>
      </c>
      <c r="AA41" s="244"/>
      <c r="AB41" s="244"/>
      <c r="AC41" s="244"/>
      <c r="AD41" s="244"/>
      <c r="AE41" s="244"/>
      <c r="AF41" s="245"/>
      <c r="AG41" s="26"/>
    </row>
    <row r="42" spans="2:36" ht="16.899999999999999" customHeight="1">
      <c r="B42" s="21"/>
      <c r="E42" s="246">
        <v>3</v>
      </c>
      <c r="F42" s="247"/>
      <c r="G42" s="247" t="s">
        <v>79</v>
      </c>
      <c r="H42" s="247"/>
      <c r="I42" s="248"/>
      <c r="J42" s="244">
        <v>0</v>
      </c>
      <c r="K42" s="244"/>
      <c r="L42" s="244"/>
      <c r="M42" s="244"/>
      <c r="N42" s="244">
        <v>2.9000000000000001E-2</v>
      </c>
      <c r="O42" s="244"/>
      <c r="P42" s="244"/>
      <c r="Q42" s="244"/>
      <c r="R42" s="249">
        <f t="shared" si="8"/>
        <v>2.9000000000000001E-2</v>
      </c>
      <c r="S42" s="249"/>
      <c r="T42" s="249"/>
      <c r="U42" s="249"/>
      <c r="V42" s="256">
        <f t="shared" si="9"/>
        <v>9</v>
      </c>
      <c r="W42" s="256"/>
      <c r="X42" s="256" t="e">
        <f t="shared" si="10"/>
        <v>#DIV/0!</v>
      </c>
      <c r="Y42" s="256"/>
      <c r="Z42" s="243" t="s">
        <v>381</v>
      </c>
      <c r="AA42" s="244"/>
      <c r="AB42" s="244"/>
      <c r="AC42" s="244"/>
      <c r="AD42" s="244"/>
      <c r="AE42" s="244"/>
      <c r="AF42" s="245"/>
      <c r="AG42" s="26"/>
    </row>
    <row r="43" spans="2:36" ht="16.899999999999999" customHeight="1" thickBot="1">
      <c r="B43" s="21"/>
      <c r="E43" s="257">
        <v>4</v>
      </c>
      <c r="F43" s="258"/>
      <c r="G43" s="258" t="s">
        <v>64</v>
      </c>
      <c r="H43" s="258"/>
      <c r="I43" s="259"/>
      <c r="J43" s="251">
        <v>0</v>
      </c>
      <c r="K43" s="251"/>
      <c r="L43" s="251"/>
      <c r="M43" s="251"/>
      <c r="N43" s="251">
        <v>3.4000000000000002E-2</v>
      </c>
      <c r="O43" s="251"/>
      <c r="P43" s="251"/>
      <c r="Q43" s="251"/>
      <c r="R43" s="260">
        <f t="shared" si="8"/>
        <v>3.4000000000000002E-2</v>
      </c>
      <c r="S43" s="260"/>
      <c r="T43" s="260"/>
      <c r="U43" s="260"/>
      <c r="V43" s="261">
        <f t="shared" si="9"/>
        <v>9</v>
      </c>
      <c r="W43" s="261"/>
      <c r="X43" s="261" t="e">
        <f t="shared" si="10"/>
        <v>#DIV/0!</v>
      </c>
      <c r="Y43" s="261"/>
      <c r="Z43" s="250" t="s">
        <v>378</v>
      </c>
      <c r="AA43" s="251"/>
      <c r="AB43" s="251"/>
      <c r="AC43" s="251"/>
      <c r="AD43" s="251"/>
      <c r="AE43" s="251"/>
      <c r="AF43" s="252"/>
      <c r="AG43" s="26"/>
    </row>
    <row r="44" spans="2:36" ht="16.899999999999999" customHeight="1">
      <c r="B44" s="21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G44" s="26"/>
    </row>
    <row r="45" spans="2:36" ht="16.899999999999999" customHeight="1">
      <c r="B45" s="21"/>
      <c r="E45" s="253" t="s">
        <v>80</v>
      </c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5"/>
      <c r="S45" s="256">
        <f>MIN(V40,V41,V42,V43)</f>
        <v>9</v>
      </c>
      <c r="T45" s="256"/>
      <c r="U45" s="256"/>
      <c r="V45" s="256"/>
      <c r="AG45" s="26"/>
    </row>
    <row r="46" spans="2:36" ht="16.899999999999999" customHeight="1">
      <c r="B46" s="21"/>
      <c r="AG46" s="26"/>
    </row>
    <row r="47" spans="2:36" ht="16.899999999999999" customHeight="1">
      <c r="B47" s="21"/>
      <c r="C47" s="29" t="s">
        <v>81</v>
      </c>
      <c r="D47" s="29"/>
      <c r="E47" s="29" t="s">
        <v>82</v>
      </c>
      <c r="AG47" s="26"/>
      <c r="AJ47"/>
    </row>
    <row r="48" spans="2:36" ht="16.899999999999999" customHeight="1" thickBot="1">
      <c r="B48" s="21"/>
      <c r="AG48" s="26"/>
    </row>
    <row r="49" spans="2:36" ht="37.15" customHeight="1" thickBot="1">
      <c r="B49" s="21"/>
      <c r="E49" s="228" t="s">
        <v>51</v>
      </c>
      <c r="F49" s="229"/>
      <c r="G49" s="230" t="s">
        <v>52</v>
      </c>
      <c r="H49" s="230"/>
      <c r="I49" s="230"/>
      <c r="J49" s="231" t="s">
        <v>53</v>
      </c>
      <c r="K49" s="231"/>
      <c r="L49" s="231"/>
      <c r="M49" s="231"/>
      <c r="N49" s="231" t="s">
        <v>54</v>
      </c>
      <c r="O49" s="231"/>
      <c r="P49" s="231"/>
      <c r="Q49" s="232"/>
      <c r="R49" s="233" t="s">
        <v>55</v>
      </c>
      <c r="S49" s="233"/>
      <c r="T49" s="233"/>
      <c r="U49" s="233"/>
      <c r="V49" s="233" t="s">
        <v>56</v>
      </c>
      <c r="W49" s="233"/>
      <c r="X49" s="233"/>
      <c r="Y49" s="233"/>
      <c r="Z49" s="234" t="s">
        <v>57</v>
      </c>
      <c r="AA49" s="231"/>
      <c r="AB49" s="231"/>
      <c r="AC49" s="231"/>
      <c r="AD49" s="231"/>
      <c r="AE49" s="231"/>
      <c r="AF49" s="235"/>
      <c r="AG49" s="26"/>
    </row>
    <row r="50" spans="2:36" ht="16.899999999999999" customHeight="1">
      <c r="B50" s="21"/>
      <c r="E50" s="236">
        <v>1</v>
      </c>
      <c r="F50" s="237"/>
      <c r="G50" s="237" t="s">
        <v>58</v>
      </c>
      <c r="H50" s="237"/>
      <c r="I50" s="238"/>
      <c r="J50" s="239"/>
      <c r="K50" s="239"/>
      <c r="L50" s="239"/>
      <c r="M50" s="239"/>
      <c r="N50" s="239"/>
      <c r="O50" s="239"/>
      <c r="P50" s="239"/>
      <c r="Q50" s="239"/>
      <c r="R50" s="240">
        <f>IFERROR(((N50-J50)/J50),0)</f>
        <v>0</v>
      </c>
      <c r="S50" s="240"/>
      <c r="T50" s="240"/>
      <c r="U50" s="240"/>
      <c r="V50" s="237"/>
      <c r="W50" s="237"/>
      <c r="X50" s="237"/>
      <c r="Y50" s="237"/>
      <c r="Z50" s="241"/>
      <c r="AA50" s="239"/>
      <c r="AB50" s="239"/>
      <c r="AC50" s="239"/>
      <c r="AD50" s="239"/>
      <c r="AE50" s="239"/>
      <c r="AF50" s="242"/>
      <c r="AG50" s="26"/>
    </row>
    <row r="51" spans="2:36" ht="16.899999999999999" customHeight="1">
      <c r="B51" s="21"/>
      <c r="E51" s="246">
        <v>2</v>
      </c>
      <c r="F51" s="247"/>
      <c r="G51" s="247" t="s">
        <v>60</v>
      </c>
      <c r="H51" s="247"/>
      <c r="I51" s="248"/>
      <c r="J51" s="244"/>
      <c r="K51" s="244"/>
      <c r="L51" s="244"/>
      <c r="M51" s="244"/>
      <c r="N51" s="244"/>
      <c r="O51" s="244"/>
      <c r="P51" s="244"/>
      <c r="Q51" s="244"/>
      <c r="R51" s="249">
        <f t="shared" ref="R51:R53" si="11">IFERROR(((N51-J51)/J51),0)</f>
        <v>0</v>
      </c>
      <c r="S51" s="249"/>
      <c r="T51" s="249"/>
      <c r="U51" s="249"/>
      <c r="V51" s="247"/>
      <c r="W51" s="247"/>
      <c r="X51" s="247"/>
      <c r="Y51" s="247"/>
      <c r="Z51" s="243"/>
      <c r="AA51" s="244"/>
      <c r="AB51" s="244"/>
      <c r="AC51" s="244"/>
      <c r="AD51" s="244"/>
      <c r="AE51" s="244"/>
      <c r="AF51" s="245"/>
      <c r="AG51" s="26"/>
    </row>
    <row r="52" spans="2:36" ht="16.899999999999999" customHeight="1">
      <c r="B52" s="21"/>
      <c r="E52" s="246">
        <v>3</v>
      </c>
      <c r="F52" s="247"/>
      <c r="G52" s="247" t="s">
        <v>62</v>
      </c>
      <c r="H52" s="247"/>
      <c r="I52" s="248"/>
      <c r="J52" s="244"/>
      <c r="K52" s="244"/>
      <c r="L52" s="244"/>
      <c r="M52" s="244"/>
      <c r="N52" s="244"/>
      <c r="O52" s="244"/>
      <c r="P52" s="244"/>
      <c r="Q52" s="244"/>
      <c r="R52" s="249">
        <f t="shared" si="11"/>
        <v>0</v>
      </c>
      <c r="S52" s="249"/>
      <c r="T52" s="249"/>
      <c r="U52" s="249"/>
      <c r="V52" s="247"/>
      <c r="W52" s="247"/>
      <c r="X52" s="247"/>
      <c r="Y52" s="247"/>
      <c r="Z52" s="243"/>
      <c r="AA52" s="244"/>
      <c r="AB52" s="244"/>
      <c r="AC52" s="244"/>
      <c r="AD52" s="244"/>
      <c r="AE52" s="244"/>
      <c r="AF52" s="245"/>
      <c r="AG52" s="26"/>
    </row>
    <row r="53" spans="2:36" ht="16.899999999999999" customHeight="1" thickBot="1">
      <c r="B53" s="21"/>
      <c r="E53" s="257">
        <v>4</v>
      </c>
      <c r="F53" s="258"/>
      <c r="G53" s="258" t="s">
        <v>64</v>
      </c>
      <c r="H53" s="258"/>
      <c r="I53" s="259"/>
      <c r="J53" s="251"/>
      <c r="K53" s="251"/>
      <c r="L53" s="251"/>
      <c r="M53" s="251"/>
      <c r="N53" s="251"/>
      <c r="O53" s="251"/>
      <c r="P53" s="251"/>
      <c r="Q53" s="251"/>
      <c r="R53" s="260">
        <f t="shared" si="11"/>
        <v>0</v>
      </c>
      <c r="S53" s="260"/>
      <c r="T53" s="260"/>
      <c r="U53" s="260"/>
      <c r="V53" s="261">
        <f>IF((ABS(R53)&lt;=0.05),9,IF((ABS(R53)&lt;=0.1),6,1))</f>
        <v>9</v>
      </c>
      <c r="W53" s="261"/>
      <c r="X53" s="261" t="e">
        <f t="shared" ref="X53" si="12">(P53-J53)/J53</f>
        <v>#DIV/0!</v>
      </c>
      <c r="Y53" s="261"/>
      <c r="Z53" s="250"/>
      <c r="AA53" s="251"/>
      <c r="AB53" s="251"/>
      <c r="AC53" s="251"/>
      <c r="AD53" s="251"/>
      <c r="AE53" s="251"/>
      <c r="AF53" s="252"/>
      <c r="AG53" s="26"/>
    </row>
    <row r="54" spans="2:36" ht="16.899999999999999" customHeight="1">
      <c r="B54" s="2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G54" s="26"/>
    </row>
    <row r="55" spans="2:36" ht="16.899999999999999" customHeight="1">
      <c r="B55" s="21"/>
      <c r="E55" s="253" t="s">
        <v>83</v>
      </c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5"/>
      <c r="S55" s="256">
        <f>MIN(V50,V51,V52,V53)</f>
        <v>9</v>
      </c>
      <c r="T55" s="256"/>
      <c r="U55" s="256"/>
      <c r="V55" s="256"/>
      <c r="AG55" s="26"/>
    </row>
    <row r="56" spans="2:36" ht="16.899999999999999" customHeight="1">
      <c r="B56" s="21"/>
      <c r="AG56" s="26"/>
    </row>
    <row r="57" spans="2:36" ht="16.899999999999999" customHeight="1">
      <c r="B57" s="21"/>
      <c r="C57" s="29" t="s">
        <v>84</v>
      </c>
      <c r="D57" s="29"/>
      <c r="E57" s="29" t="s">
        <v>85</v>
      </c>
      <c r="AG57" s="26"/>
      <c r="AJ57"/>
    </row>
    <row r="58" spans="2:36" ht="16.899999999999999" customHeight="1" thickBot="1">
      <c r="B58" s="21"/>
      <c r="AG58" s="26"/>
    </row>
    <row r="59" spans="2:36" ht="37.15" customHeight="1" thickBot="1">
      <c r="B59" s="21"/>
      <c r="E59" s="228" t="s">
        <v>51</v>
      </c>
      <c r="F59" s="229"/>
      <c r="G59" s="230" t="s">
        <v>52</v>
      </c>
      <c r="H59" s="230"/>
      <c r="I59" s="230"/>
      <c r="J59" s="231" t="s">
        <v>69</v>
      </c>
      <c r="K59" s="231"/>
      <c r="L59" s="231"/>
      <c r="M59" s="231"/>
      <c r="N59" s="231" t="s">
        <v>70</v>
      </c>
      <c r="O59" s="231"/>
      <c r="P59" s="231"/>
      <c r="Q59" s="232"/>
      <c r="R59" s="233" t="s">
        <v>55</v>
      </c>
      <c r="S59" s="233"/>
      <c r="T59" s="233"/>
      <c r="U59" s="233"/>
      <c r="V59" s="233" t="s">
        <v>56</v>
      </c>
      <c r="W59" s="233"/>
      <c r="X59" s="233"/>
      <c r="Y59" s="233"/>
      <c r="Z59" s="234" t="s">
        <v>57</v>
      </c>
      <c r="AA59" s="231"/>
      <c r="AB59" s="231"/>
      <c r="AC59" s="231"/>
      <c r="AD59" s="231"/>
      <c r="AE59" s="231"/>
      <c r="AF59" s="235"/>
      <c r="AG59" s="26"/>
    </row>
    <row r="60" spans="2:36" ht="16.899999999999999" customHeight="1">
      <c r="B60" s="21"/>
      <c r="E60" s="236">
        <v>1</v>
      </c>
      <c r="F60" s="237"/>
      <c r="G60" s="237" t="s">
        <v>77</v>
      </c>
      <c r="H60" s="237"/>
      <c r="I60" s="238"/>
      <c r="J60" s="239"/>
      <c r="K60" s="239"/>
      <c r="L60" s="239"/>
      <c r="M60" s="239"/>
      <c r="N60" s="239"/>
      <c r="O60" s="239"/>
      <c r="P60" s="239"/>
      <c r="Q60" s="239"/>
      <c r="R60" s="240">
        <f>ABS(N60)</f>
        <v>0</v>
      </c>
      <c r="S60" s="240"/>
      <c r="T60" s="240"/>
      <c r="U60" s="240"/>
      <c r="V60" s="262">
        <f>IF((ABS(R60)&lt;=0.05),9,IF((ABS(R60)&lt;=0.1),6,1))</f>
        <v>9</v>
      </c>
      <c r="W60" s="262"/>
      <c r="X60" s="262" t="e">
        <f>(P60-J60)/J60</f>
        <v>#DIV/0!</v>
      </c>
      <c r="Y60" s="262"/>
      <c r="Z60" s="241"/>
      <c r="AA60" s="239"/>
      <c r="AB60" s="239"/>
      <c r="AC60" s="239"/>
      <c r="AD60" s="239"/>
      <c r="AE60" s="239"/>
      <c r="AF60" s="242"/>
      <c r="AG60" s="26"/>
    </row>
    <row r="61" spans="2:36" ht="16.899999999999999" customHeight="1">
      <c r="B61" s="21"/>
      <c r="E61" s="246">
        <v>2</v>
      </c>
      <c r="F61" s="247"/>
      <c r="G61" s="247" t="s">
        <v>78</v>
      </c>
      <c r="H61" s="247"/>
      <c r="I61" s="248"/>
      <c r="J61" s="244"/>
      <c r="K61" s="244"/>
      <c r="L61" s="244"/>
      <c r="M61" s="244"/>
      <c r="N61" s="244"/>
      <c r="O61" s="244"/>
      <c r="P61" s="244"/>
      <c r="Q61" s="244"/>
      <c r="R61" s="249">
        <f t="shared" ref="R61:R63" si="13">ABS(N61)</f>
        <v>0</v>
      </c>
      <c r="S61" s="249"/>
      <c r="T61" s="249"/>
      <c r="U61" s="249"/>
      <c r="V61" s="256">
        <f t="shared" ref="V61:V63" si="14">IF((ABS(R61)&lt;=0.05),9,IF((ABS(R61)&lt;=0.1),6,1))</f>
        <v>9</v>
      </c>
      <c r="W61" s="256"/>
      <c r="X61" s="256" t="e">
        <f t="shared" ref="X61:X63" si="15">(P61-J61)/J61</f>
        <v>#DIV/0!</v>
      </c>
      <c r="Y61" s="256"/>
      <c r="Z61" s="243"/>
      <c r="AA61" s="244"/>
      <c r="AB61" s="244"/>
      <c r="AC61" s="244"/>
      <c r="AD61" s="244"/>
      <c r="AE61" s="244"/>
      <c r="AF61" s="245"/>
      <c r="AG61" s="26"/>
    </row>
    <row r="62" spans="2:36" ht="16.899999999999999" customHeight="1">
      <c r="B62" s="21"/>
      <c r="E62" s="246">
        <v>3</v>
      </c>
      <c r="F62" s="247"/>
      <c r="G62" s="247" t="s">
        <v>79</v>
      </c>
      <c r="H62" s="247"/>
      <c r="I62" s="248"/>
      <c r="J62" s="244"/>
      <c r="K62" s="244"/>
      <c r="L62" s="244"/>
      <c r="M62" s="244"/>
      <c r="N62" s="244"/>
      <c r="O62" s="244"/>
      <c r="P62" s="244"/>
      <c r="Q62" s="244"/>
      <c r="R62" s="249">
        <f t="shared" si="13"/>
        <v>0</v>
      </c>
      <c r="S62" s="249"/>
      <c r="T62" s="249"/>
      <c r="U62" s="249"/>
      <c r="V62" s="256">
        <f t="shared" si="14"/>
        <v>9</v>
      </c>
      <c r="W62" s="256"/>
      <c r="X62" s="256" t="e">
        <f t="shared" si="15"/>
        <v>#DIV/0!</v>
      </c>
      <c r="Y62" s="256"/>
      <c r="Z62" s="243"/>
      <c r="AA62" s="244"/>
      <c r="AB62" s="244"/>
      <c r="AC62" s="244"/>
      <c r="AD62" s="244"/>
      <c r="AE62" s="244"/>
      <c r="AF62" s="245"/>
      <c r="AG62" s="26"/>
    </row>
    <row r="63" spans="2:36" ht="16.899999999999999" customHeight="1" thickBot="1">
      <c r="B63" s="21"/>
      <c r="E63" s="257">
        <v>4</v>
      </c>
      <c r="F63" s="258"/>
      <c r="G63" s="258" t="s">
        <v>64</v>
      </c>
      <c r="H63" s="258"/>
      <c r="I63" s="259"/>
      <c r="J63" s="251"/>
      <c r="K63" s="251"/>
      <c r="L63" s="251"/>
      <c r="M63" s="251"/>
      <c r="N63" s="251"/>
      <c r="O63" s="251"/>
      <c r="P63" s="251"/>
      <c r="Q63" s="251"/>
      <c r="R63" s="260">
        <f t="shared" si="13"/>
        <v>0</v>
      </c>
      <c r="S63" s="260"/>
      <c r="T63" s="260"/>
      <c r="U63" s="260"/>
      <c r="V63" s="261">
        <f t="shared" si="14"/>
        <v>9</v>
      </c>
      <c r="W63" s="261"/>
      <c r="X63" s="261" t="e">
        <f t="shared" si="15"/>
        <v>#DIV/0!</v>
      </c>
      <c r="Y63" s="261"/>
      <c r="Z63" s="250"/>
      <c r="AA63" s="251"/>
      <c r="AB63" s="251"/>
      <c r="AC63" s="251"/>
      <c r="AD63" s="251"/>
      <c r="AE63" s="251"/>
      <c r="AF63" s="252"/>
      <c r="AG63" s="26"/>
    </row>
    <row r="64" spans="2:36" ht="16.899999999999999" customHeight="1">
      <c r="B64" s="21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G64" s="26"/>
    </row>
    <row r="65" spans="2:36" ht="16.899999999999999" customHeight="1">
      <c r="B65" s="21"/>
      <c r="E65" s="253" t="s">
        <v>86</v>
      </c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5"/>
      <c r="S65" s="256">
        <f>MIN(V60,V61,V62,V63)</f>
        <v>9</v>
      </c>
      <c r="T65" s="256"/>
      <c r="U65" s="256"/>
      <c r="V65" s="256"/>
      <c r="AG65" s="26"/>
    </row>
    <row r="66" spans="2:36" ht="16.899999999999999" customHeight="1">
      <c r="B66" s="21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5"/>
      <c r="T66" s="35"/>
      <c r="U66" s="35"/>
      <c r="V66" s="35"/>
      <c r="AG66" s="26"/>
    </row>
    <row r="67" spans="2:36" ht="16.899999999999999" customHeight="1">
      <c r="B67" s="21"/>
      <c r="C67" s="29" t="s">
        <v>87</v>
      </c>
      <c r="D67" s="29"/>
      <c r="E67" s="29" t="s">
        <v>88</v>
      </c>
      <c r="AG67" s="26"/>
      <c r="AJ67"/>
    </row>
    <row r="68" spans="2:36" ht="16.899999999999999" customHeight="1" thickBot="1">
      <c r="B68" s="21"/>
      <c r="AG68" s="26"/>
    </row>
    <row r="69" spans="2:36" ht="37.15" customHeight="1" thickBot="1">
      <c r="B69" s="21"/>
      <c r="E69" s="228" t="s">
        <v>51</v>
      </c>
      <c r="F69" s="229"/>
      <c r="G69" s="230" t="s">
        <v>89</v>
      </c>
      <c r="H69" s="230"/>
      <c r="I69" s="230"/>
      <c r="J69" s="231" t="s">
        <v>53</v>
      </c>
      <c r="K69" s="231"/>
      <c r="L69" s="231"/>
      <c r="M69" s="231"/>
      <c r="N69" s="231" t="s">
        <v>54</v>
      </c>
      <c r="O69" s="231"/>
      <c r="P69" s="231"/>
      <c r="Q69" s="232"/>
      <c r="R69" s="233" t="s">
        <v>55</v>
      </c>
      <c r="S69" s="233"/>
      <c r="T69" s="233"/>
      <c r="U69" s="233"/>
      <c r="V69" s="233" t="s">
        <v>56</v>
      </c>
      <c r="W69" s="233"/>
      <c r="X69" s="233"/>
      <c r="Y69" s="233"/>
      <c r="Z69" s="234" t="s">
        <v>57</v>
      </c>
      <c r="AA69" s="231"/>
      <c r="AB69" s="231"/>
      <c r="AC69" s="231"/>
      <c r="AD69" s="231"/>
      <c r="AE69" s="231"/>
      <c r="AF69" s="235"/>
      <c r="AG69" s="26"/>
    </row>
    <row r="70" spans="2:36" ht="16.899999999999999" customHeight="1">
      <c r="B70" s="21"/>
      <c r="E70" s="236">
        <v>1</v>
      </c>
      <c r="F70" s="237"/>
      <c r="G70" s="237" t="s">
        <v>90</v>
      </c>
      <c r="H70" s="237"/>
      <c r="I70" s="238"/>
      <c r="J70" s="239">
        <v>0.3</v>
      </c>
      <c r="K70" s="239"/>
      <c r="L70" s="239"/>
      <c r="M70" s="239"/>
      <c r="N70" s="239">
        <v>0.30199999999999999</v>
      </c>
      <c r="O70" s="239"/>
      <c r="P70" s="239"/>
      <c r="Q70" s="239"/>
      <c r="R70" s="240">
        <f>IFERROR(((N70-J70)/J70),0)</f>
        <v>6.6666666666666732E-3</v>
      </c>
      <c r="S70" s="240"/>
      <c r="T70" s="240"/>
      <c r="U70" s="240"/>
      <c r="V70" s="262">
        <f>IF((ABS(R70)&lt;=0.05),9,IF((ABS(R70)&lt;=0.1),6,1))</f>
        <v>9</v>
      </c>
      <c r="W70" s="262"/>
      <c r="X70" s="262">
        <f>(P70-J70)/J70</f>
        <v>-1</v>
      </c>
      <c r="Y70" s="262"/>
      <c r="Z70" s="241" t="s">
        <v>255</v>
      </c>
      <c r="AA70" s="239"/>
      <c r="AB70" s="239"/>
      <c r="AC70" s="239"/>
      <c r="AD70" s="239"/>
      <c r="AE70" s="239"/>
      <c r="AF70" s="242"/>
      <c r="AG70" s="26"/>
    </row>
    <row r="71" spans="2:36" ht="16.899999999999999" customHeight="1" thickBot="1">
      <c r="B71" s="21"/>
      <c r="E71" s="257">
        <v>2</v>
      </c>
      <c r="F71" s="258"/>
      <c r="G71" s="258" t="s">
        <v>91</v>
      </c>
      <c r="H71" s="258"/>
      <c r="I71" s="259"/>
      <c r="J71" s="251">
        <v>0.24</v>
      </c>
      <c r="K71" s="251"/>
      <c r="L71" s="251"/>
      <c r="M71" s="251"/>
      <c r="N71" s="251">
        <v>0.24299999999999999</v>
      </c>
      <c r="O71" s="251"/>
      <c r="P71" s="251"/>
      <c r="Q71" s="251"/>
      <c r="R71" s="260">
        <f t="shared" ref="R71" si="16">IFERROR(((N71-J71)/J71),0)</f>
        <v>1.2500000000000011E-2</v>
      </c>
      <c r="S71" s="260"/>
      <c r="T71" s="260"/>
      <c r="U71" s="260"/>
      <c r="V71" s="261">
        <f>IF((ABS(R71)&lt;=0.05),9,IF((ABS(R71)&lt;=0.1),6,1))</f>
        <v>9</v>
      </c>
      <c r="W71" s="261"/>
      <c r="X71" s="261">
        <f t="shared" ref="X71" si="17">(P71-J71)/J71</f>
        <v>-1</v>
      </c>
      <c r="Y71" s="261"/>
      <c r="Z71" s="250" t="s">
        <v>256</v>
      </c>
      <c r="AA71" s="251"/>
      <c r="AB71" s="251"/>
      <c r="AC71" s="251"/>
      <c r="AD71" s="251"/>
      <c r="AE71" s="251"/>
      <c r="AF71" s="252"/>
      <c r="AG71" s="26"/>
    </row>
    <row r="72" spans="2:36" ht="16.899999999999999" customHeight="1">
      <c r="B72" s="21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G72" s="26"/>
    </row>
    <row r="73" spans="2:36" ht="16.899999999999999" customHeight="1">
      <c r="B73" s="21"/>
      <c r="E73" s="253" t="s">
        <v>92</v>
      </c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5"/>
      <c r="S73" s="256">
        <f>MIN(V70,V71)</f>
        <v>9</v>
      </c>
      <c r="T73" s="256"/>
      <c r="U73" s="256"/>
      <c r="V73" s="256"/>
      <c r="AG73" s="26"/>
    </row>
    <row r="74" spans="2:36" ht="16.899999999999999" customHeight="1">
      <c r="B74" s="21"/>
      <c r="AG74" s="26"/>
    </row>
    <row r="75" spans="2:36" ht="16.899999999999999" customHeight="1">
      <c r="B75" s="21"/>
      <c r="C75" s="29" t="s">
        <v>93</v>
      </c>
      <c r="D75" s="29"/>
      <c r="E75" s="29" t="s">
        <v>94</v>
      </c>
      <c r="AG75" s="26"/>
      <c r="AJ75"/>
    </row>
    <row r="76" spans="2:36" ht="16.899999999999999" customHeight="1" thickBot="1">
      <c r="B76" s="21"/>
      <c r="AG76" s="26"/>
    </row>
    <row r="77" spans="2:36" ht="37.15" customHeight="1" thickBot="1">
      <c r="B77" s="21"/>
      <c r="E77" s="228" t="s">
        <v>51</v>
      </c>
      <c r="F77" s="229"/>
      <c r="G77" s="230" t="s">
        <v>89</v>
      </c>
      <c r="H77" s="230"/>
      <c r="I77" s="230"/>
      <c r="J77" s="231" t="s">
        <v>69</v>
      </c>
      <c r="K77" s="231"/>
      <c r="L77" s="231"/>
      <c r="M77" s="231"/>
      <c r="N77" s="231" t="s">
        <v>70</v>
      </c>
      <c r="O77" s="231"/>
      <c r="P77" s="231"/>
      <c r="Q77" s="232"/>
      <c r="R77" s="233" t="s">
        <v>55</v>
      </c>
      <c r="S77" s="233"/>
      <c r="T77" s="233"/>
      <c r="U77" s="233"/>
      <c r="V77" s="233" t="s">
        <v>56</v>
      </c>
      <c r="W77" s="233"/>
      <c r="X77" s="233"/>
      <c r="Y77" s="233"/>
      <c r="Z77" s="234" t="s">
        <v>57</v>
      </c>
      <c r="AA77" s="231"/>
      <c r="AB77" s="231"/>
      <c r="AC77" s="231"/>
      <c r="AD77" s="231"/>
      <c r="AE77" s="231"/>
      <c r="AF77" s="235"/>
      <c r="AG77" s="26"/>
    </row>
    <row r="78" spans="2:36" ht="16.899999999999999" customHeight="1">
      <c r="B78" s="21"/>
      <c r="E78" s="236">
        <v>1</v>
      </c>
      <c r="F78" s="237"/>
      <c r="G78" s="237" t="s">
        <v>90</v>
      </c>
      <c r="H78" s="237"/>
      <c r="I78" s="238"/>
      <c r="J78" s="239">
        <v>0</v>
      </c>
      <c r="K78" s="239"/>
      <c r="L78" s="239"/>
      <c r="M78" s="239"/>
      <c r="N78" s="239">
        <v>3.3000000000000002E-2</v>
      </c>
      <c r="O78" s="239"/>
      <c r="P78" s="239"/>
      <c r="Q78" s="239"/>
      <c r="R78" s="240">
        <f>ABS(N78)</f>
        <v>3.3000000000000002E-2</v>
      </c>
      <c r="S78" s="240"/>
      <c r="T78" s="240"/>
      <c r="U78" s="240"/>
      <c r="V78" s="262">
        <f>IF((ABS(R78)&lt;=0.05),9,IF((ABS(R78)&lt;=0.1),6,1))</f>
        <v>9</v>
      </c>
      <c r="W78" s="262"/>
      <c r="X78" s="262" t="e">
        <f>(P78-J78)/J78</f>
        <v>#DIV/0!</v>
      </c>
      <c r="Y78" s="262"/>
      <c r="Z78" s="241" t="s">
        <v>255</v>
      </c>
      <c r="AA78" s="239"/>
      <c r="AB78" s="239"/>
      <c r="AC78" s="239"/>
      <c r="AD78" s="239"/>
      <c r="AE78" s="239"/>
      <c r="AF78" s="242"/>
      <c r="AG78" s="26"/>
    </row>
    <row r="79" spans="2:36" ht="16.899999999999999" customHeight="1" thickBot="1">
      <c r="B79" s="21"/>
      <c r="E79" s="257">
        <v>2</v>
      </c>
      <c r="F79" s="258"/>
      <c r="G79" s="258" t="s">
        <v>91</v>
      </c>
      <c r="H79" s="258"/>
      <c r="I79" s="259"/>
      <c r="J79" s="251">
        <v>0</v>
      </c>
      <c r="K79" s="251"/>
      <c r="L79" s="251"/>
      <c r="M79" s="251"/>
      <c r="N79" s="251">
        <v>3.3000000000000002E-2</v>
      </c>
      <c r="O79" s="251"/>
      <c r="P79" s="251"/>
      <c r="Q79" s="251"/>
      <c r="R79" s="260">
        <f t="shared" ref="R79" si="18">ABS(N79)</f>
        <v>3.3000000000000002E-2</v>
      </c>
      <c r="S79" s="260"/>
      <c r="T79" s="260"/>
      <c r="U79" s="260"/>
      <c r="V79" s="261">
        <f t="shared" ref="V79" si="19">IF((ABS(R79)&lt;=0.05),9,IF((ABS(R79)&lt;=0.1),6,1))</f>
        <v>9</v>
      </c>
      <c r="W79" s="261"/>
      <c r="X79" s="261" t="e">
        <f t="shared" ref="X79" si="20">(P79-J79)/J79</f>
        <v>#DIV/0!</v>
      </c>
      <c r="Y79" s="261"/>
      <c r="Z79" s="250" t="s">
        <v>256</v>
      </c>
      <c r="AA79" s="251"/>
      <c r="AB79" s="251"/>
      <c r="AC79" s="251"/>
      <c r="AD79" s="251"/>
      <c r="AE79" s="251"/>
      <c r="AF79" s="252"/>
      <c r="AG79" s="26"/>
    </row>
    <row r="80" spans="2:36" ht="16.899999999999999" customHeight="1">
      <c r="B80" s="21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G80" s="26"/>
    </row>
    <row r="81" spans="2:36" ht="16.899999999999999" customHeight="1">
      <c r="B81" s="21"/>
      <c r="E81" s="253" t="s">
        <v>95</v>
      </c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5"/>
      <c r="S81" s="256">
        <f>MIN(V78,V79)</f>
        <v>9</v>
      </c>
      <c r="T81" s="256"/>
      <c r="U81" s="256"/>
      <c r="V81" s="256"/>
      <c r="AG81" s="26"/>
    </row>
    <row r="82" spans="2:36" ht="16.899999999999999" customHeight="1">
      <c r="B82" s="21"/>
      <c r="AG82" s="26"/>
    </row>
    <row r="83" spans="2:36" ht="16.899999999999999" customHeight="1">
      <c r="B83" s="21"/>
      <c r="C83" s="29" t="s">
        <v>96</v>
      </c>
      <c r="D83" s="29"/>
      <c r="E83" s="29" t="s">
        <v>97</v>
      </c>
      <c r="AG83" s="26"/>
      <c r="AJ83"/>
    </row>
    <row r="84" spans="2:36" ht="16.899999999999999" customHeight="1" thickBot="1">
      <c r="B84" s="21"/>
      <c r="AG84" s="26"/>
    </row>
    <row r="85" spans="2:36" ht="37.15" customHeight="1" thickBot="1">
      <c r="B85" s="21"/>
      <c r="E85" s="228" t="s">
        <v>51</v>
      </c>
      <c r="F85" s="229"/>
      <c r="G85" s="230" t="s">
        <v>89</v>
      </c>
      <c r="H85" s="230"/>
      <c r="I85" s="230"/>
      <c r="J85" s="231" t="s">
        <v>98</v>
      </c>
      <c r="K85" s="231"/>
      <c r="L85" s="231"/>
      <c r="M85" s="231"/>
      <c r="N85" s="231" t="s">
        <v>99</v>
      </c>
      <c r="O85" s="231"/>
      <c r="P85" s="231"/>
      <c r="Q85" s="232"/>
      <c r="R85" s="233" t="s">
        <v>55</v>
      </c>
      <c r="S85" s="233"/>
      <c r="T85" s="233"/>
      <c r="U85" s="233"/>
      <c r="V85" s="233" t="s">
        <v>56</v>
      </c>
      <c r="W85" s="233"/>
      <c r="X85" s="233"/>
      <c r="Y85" s="233"/>
      <c r="Z85" s="234" t="s">
        <v>57</v>
      </c>
      <c r="AA85" s="231"/>
      <c r="AB85" s="231"/>
      <c r="AC85" s="231"/>
      <c r="AD85" s="231"/>
      <c r="AE85" s="231"/>
      <c r="AF85" s="235"/>
      <c r="AG85" s="26"/>
    </row>
    <row r="86" spans="2:36" ht="16.899999999999999" customHeight="1">
      <c r="B86" s="21"/>
      <c r="E86" s="236">
        <v>1</v>
      </c>
      <c r="F86" s="237"/>
      <c r="G86" s="237" t="s">
        <v>77</v>
      </c>
      <c r="H86" s="237"/>
      <c r="I86" s="238"/>
      <c r="J86" s="239"/>
      <c r="K86" s="239"/>
      <c r="L86" s="239"/>
      <c r="M86" s="239"/>
      <c r="N86" s="239"/>
      <c r="O86" s="239"/>
      <c r="P86" s="239"/>
      <c r="Q86" s="239"/>
      <c r="R86" s="240">
        <f>IFERROR(((N86-J86)/J86),0)</f>
        <v>0</v>
      </c>
      <c r="S86" s="240"/>
      <c r="T86" s="240"/>
      <c r="U86" s="240"/>
      <c r="V86" s="262">
        <f>IF((ABS(R86)&lt;=0.05),9,IF((ABS(R86)&lt;=0.1),6,1))</f>
        <v>9</v>
      </c>
      <c r="W86" s="262"/>
      <c r="X86" s="262" t="e">
        <f>(P86-J86)/J86</f>
        <v>#DIV/0!</v>
      </c>
      <c r="Y86" s="262"/>
      <c r="Z86" s="241"/>
      <c r="AA86" s="239"/>
      <c r="AB86" s="239"/>
      <c r="AC86" s="239"/>
      <c r="AD86" s="239"/>
      <c r="AE86" s="239"/>
      <c r="AF86" s="242"/>
      <c r="AG86" s="26"/>
    </row>
    <row r="87" spans="2:36" ht="16.899999999999999" customHeight="1">
      <c r="B87" s="21"/>
      <c r="E87" s="246">
        <v>2</v>
      </c>
      <c r="F87" s="247"/>
      <c r="G87" s="247" t="s">
        <v>78</v>
      </c>
      <c r="H87" s="247"/>
      <c r="I87" s="248"/>
      <c r="J87" s="244"/>
      <c r="K87" s="244"/>
      <c r="L87" s="244"/>
      <c r="M87" s="244"/>
      <c r="N87" s="244"/>
      <c r="O87" s="244"/>
      <c r="P87" s="244"/>
      <c r="Q87" s="244"/>
      <c r="R87" s="249">
        <f t="shared" ref="R87:R89" si="21">IFERROR(((N87-J87)/J87),0)</f>
        <v>0</v>
      </c>
      <c r="S87" s="249"/>
      <c r="T87" s="249"/>
      <c r="U87" s="249"/>
      <c r="V87" s="256">
        <f t="shared" ref="V87:V89" si="22">IF((ABS(R87)&lt;=0.05),9,IF((ABS(R87)&lt;=0.1),6,1))</f>
        <v>9</v>
      </c>
      <c r="W87" s="256"/>
      <c r="X87" s="256" t="e">
        <f t="shared" ref="X87:X89" si="23">(P87-J87)/J87</f>
        <v>#DIV/0!</v>
      </c>
      <c r="Y87" s="256"/>
      <c r="Z87" s="243"/>
      <c r="AA87" s="244"/>
      <c r="AB87" s="244"/>
      <c r="AC87" s="244"/>
      <c r="AD87" s="244"/>
      <c r="AE87" s="244"/>
      <c r="AF87" s="245"/>
      <c r="AG87" s="26"/>
    </row>
    <row r="88" spans="2:36" ht="16.899999999999999" customHeight="1">
      <c r="B88" s="21"/>
      <c r="E88" s="246">
        <v>3</v>
      </c>
      <c r="F88" s="247"/>
      <c r="G88" s="247" t="s">
        <v>79</v>
      </c>
      <c r="H88" s="247"/>
      <c r="I88" s="248"/>
      <c r="J88" s="244"/>
      <c r="K88" s="244"/>
      <c r="L88" s="244"/>
      <c r="M88" s="244"/>
      <c r="N88" s="244"/>
      <c r="O88" s="244"/>
      <c r="P88" s="244"/>
      <c r="Q88" s="244"/>
      <c r="R88" s="249">
        <f t="shared" si="21"/>
        <v>0</v>
      </c>
      <c r="S88" s="249"/>
      <c r="T88" s="249"/>
      <c r="U88" s="249"/>
      <c r="V88" s="256">
        <f t="shared" si="22"/>
        <v>9</v>
      </c>
      <c r="W88" s="256"/>
      <c r="X88" s="256" t="e">
        <f t="shared" si="23"/>
        <v>#DIV/0!</v>
      </c>
      <c r="Y88" s="256"/>
      <c r="Z88" s="243"/>
      <c r="AA88" s="244"/>
      <c r="AB88" s="244"/>
      <c r="AC88" s="244"/>
      <c r="AD88" s="244"/>
      <c r="AE88" s="244"/>
      <c r="AF88" s="245"/>
      <c r="AG88" s="26"/>
    </row>
    <row r="89" spans="2:36" ht="16.899999999999999" customHeight="1" thickBot="1">
      <c r="B89" s="21"/>
      <c r="E89" s="257">
        <v>4</v>
      </c>
      <c r="F89" s="258"/>
      <c r="G89" s="258" t="s">
        <v>64</v>
      </c>
      <c r="H89" s="258"/>
      <c r="I89" s="259"/>
      <c r="J89" s="251">
        <v>6.4</v>
      </c>
      <c r="K89" s="251"/>
      <c r="L89" s="251"/>
      <c r="M89" s="251"/>
      <c r="N89" s="251">
        <v>6.3959999999999999</v>
      </c>
      <c r="O89" s="251"/>
      <c r="P89" s="251"/>
      <c r="Q89" s="251"/>
      <c r="R89" s="260">
        <f t="shared" si="21"/>
        <v>-6.2500000000006994E-4</v>
      </c>
      <c r="S89" s="260"/>
      <c r="T89" s="260"/>
      <c r="U89" s="260"/>
      <c r="V89" s="261">
        <f t="shared" si="22"/>
        <v>9</v>
      </c>
      <c r="W89" s="261"/>
      <c r="X89" s="261">
        <f t="shared" si="23"/>
        <v>-1</v>
      </c>
      <c r="Y89" s="261"/>
      <c r="Z89" s="250" t="s">
        <v>378</v>
      </c>
      <c r="AA89" s="251"/>
      <c r="AB89" s="251"/>
      <c r="AC89" s="251"/>
      <c r="AD89" s="251"/>
      <c r="AE89" s="251"/>
      <c r="AF89" s="252"/>
      <c r="AG89" s="26"/>
    </row>
    <row r="90" spans="2:36" ht="16.899999999999999" customHeight="1">
      <c r="B90" s="21"/>
      <c r="E90" s="37" t="s">
        <v>100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G90" s="26"/>
    </row>
    <row r="91" spans="2:36" ht="16.899999999999999" customHeight="1">
      <c r="B91" s="21"/>
      <c r="E91" s="253" t="s">
        <v>101</v>
      </c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5"/>
      <c r="S91" s="256">
        <f>MIN(V86,V87,V88,V89)</f>
        <v>9</v>
      </c>
      <c r="T91" s="256"/>
      <c r="U91" s="256"/>
      <c r="V91" s="256"/>
      <c r="AG91" s="26"/>
    </row>
    <row r="92" spans="2:36" ht="16.899999999999999" customHeight="1">
      <c r="B92" s="21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5"/>
      <c r="T92" s="35"/>
      <c r="U92" s="35"/>
      <c r="V92" s="35"/>
      <c r="AG92" s="26"/>
    </row>
    <row r="93" spans="2:36" ht="16.899999999999999" customHeight="1">
      <c r="B93" s="21"/>
      <c r="C93" s="29" t="s">
        <v>102</v>
      </c>
      <c r="D93" s="29"/>
      <c r="E93" s="29" t="s">
        <v>103</v>
      </c>
      <c r="AG93" s="26"/>
    </row>
    <row r="94" spans="2:36" ht="16.899999999999999" customHeight="1" thickBot="1">
      <c r="B94" s="21"/>
      <c r="AG94" s="26"/>
    </row>
    <row r="95" spans="2:36" ht="37.15" customHeight="1" thickBot="1">
      <c r="B95" s="21"/>
      <c r="E95" s="228" t="s">
        <v>51</v>
      </c>
      <c r="F95" s="229"/>
      <c r="G95" s="230" t="s">
        <v>89</v>
      </c>
      <c r="H95" s="230"/>
      <c r="I95" s="230"/>
      <c r="J95" s="231" t="s">
        <v>104</v>
      </c>
      <c r="K95" s="231"/>
      <c r="L95" s="231"/>
      <c r="M95" s="231"/>
      <c r="N95" s="231" t="s">
        <v>105</v>
      </c>
      <c r="O95" s="231"/>
      <c r="P95" s="231"/>
      <c r="Q95" s="232"/>
      <c r="R95" s="233" t="s">
        <v>55</v>
      </c>
      <c r="S95" s="233"/>
      <c r="T95" s="233"/>
      <c r="U95" s="233"/>
      <c r="V95" s="233" t="s">
        <v>56</v>
      </c>
      <c r="W95" s="233"/>
      <c r="X95" s="233"/>
      <c r="Y95" s="233"/>
      <c r="Z95" s="234" t="s">
        <v>57</v>
      </c>
      <c r="AA95" s="231"/>
      <c r="AB95" s="231"/>
      <c r="AC95" s="231"/>
      <c r="AD95" s="231"/>
      <c r="AE95" s="231"/>
      <c r="AF95" s="235"/>
      <c r="AG95" s="26"/>
    </row>
    <row r="96" spans="2:36" ht="16.899999999999999" customHeight="1">
      <c r="B96" s="21"/>
      <c r="E96" s="236">
        <v>1</v>
      </c>
      <c r="F96" s="237"/>
      <c r="G96" s="237" t="s">
        <v>106</v>
      </c>
      <c r="H96" s="237"/>
      <c r="I96" s="238"/>
      <c r="J96" s="239"/>
      <c r="K96" s="239"/>
      <c r="L96" s="239"/>
      <c r="M96" s="239"/>
      <c r="N96" s="239"/>
      <c r="O96" s="239"/>
      <c r="P96" s="239"/>
      <c r="Q96" s="239"/>
      <c r="R96" s="240">
        <f>IFERROR(((N96-J96)/J96),0)</f>
        <v>0</v>
      </c>
      <c r="S96" s="240"/>
      <c r="T96" s="240"/>
      <c r="U96" s="240"/>
      <c r="V96" s="262">
        <f>IF((ABS(R96)&lt;=0.05),9,IF((ABS(R96)&lt;=0.1),6,1))</f>
        <v>9</v>
      </c>
      <c r="W96" s="262"/>
      <c r="X96" s="262" t="e">
        <f>(P96-J96)/J96</f>
        <v>#DIV/0!</v>
      </c>
      <c r="Y96" s="262"/>
      <c r="Z96" s="241"/>
      <c r="AA96" s="239"/>
      <c r="AB96" s="239"/>
      <c r="AC96" s="239"/>
      <c r="AD96" s="239"/>
      <c r="AE96" s="239"/>
      <c r="AF96" s="242"/>
      <c r="AG96" s="26"/>
    </row>
    <row r="97" spans="2:33" ht="16.899999999999999" customHeight="1" thickBot="1">
      <c r="B97" s="21"/>
      <c r="E97" s="257">
        <v>2</v>
      </c>
      <c r="F97" s="258"/>
      <c r="G97" s="258" t="s">
        <v>107</v>
      </c>
      <c r="H97" s="258"/>
      <c r="I97" s="259"/>
      <c r="J97" s="251"/>
      <c r="K97" s="251"/>
      <c r="L97" s="251"/>
      <c r="M97" s="251"/>
      <c r="N97" s="251"/>
      <c r="O97" s="251"/>
      <c r="P97" s="251"/>
      <c r="Q97" s="251"/>
      <c r="R97" s="260">
        <f t="shared" ref="R97" si="24">IFERROR(((N97-J97)/J97),0)</f>
        <v>0</v>
      </c>
      <c r="S97" s="260"/>
      <c r="T97" s="260"/>
      <c r="U97" s="260"/>
      <c r="V97" s="261">
        <f t="shared" ref="V97" si="25">IF((ABS(R97)&lt;=0.05),9,IF((ABS(R97)&lt;=0.1),6,1))</f>
        <v>9</v>
      </c>
      <c r="W97" s="261"/>
      <c r="X97" s="261" t="e">
        <f t="shared" ref="X97" si="26">(P97-J97)/J97</f>
        <v>#DIV/0!</v>
      </c>
      <c r="Y97" s="261"/>
      <c r="Z97" s="250"/>
      <c r="AA97" s="251"/>
      <c r="AB97" s="251"/>
      <c r="AC97" s="251"/>
      <c r="AD97" s="251"/>
      <c r="AE97" s="251"/>
      <c r="AF97" s="252"/>
      <c r="AG97" s="26"/>
    </row>
    <row r="98" spans="2:33" ht="16.899999999999999" customHeight="1">
      <c r="B98" s="21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G98" s="26"/>
    </row>
    <row r="99" spans="2:33" ht="16.899999999999999" customHeight="1">
      <c r="B99" s="21"/>
      <c r="E99" s="253" t="s">
        <v>108</v>
      </c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5"/>
      <c r="S99" s="256">
        <f>MIN(V96,V97)</f>
        <v>9</v>
      </c>
      <c r="T99" s="256"/>
      <c r="U99" s="256"/>
      <c r="V99" s="256"/>
      <c r="AG99" s="26"/>
    </row>
    <row r="100" spans="2:33" ht="16.899999999999999" customHeight="1">
      <c r="B100" s="21"/>
      <c r="AG100" s="26"/>
    </row>
    <row r="101" spans="2:33" ht="16.899999999999999" customHeight="1">
      <c r="B101" s="21"/>
      <c r="C101" s="29" t="s">
        <v>109</v>
      </c>
      <c r="E101" s="28" t="s">
        <v>110</v>
      </c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5"/>
      <c r="Q101" s="35"/>
      <c r="R101" s="35"/>
      <c r="S101" s="35"/>
      <c r="AG101" s="26"/>
    </row>
    <row r="102" spans="2:33" ht="16.899999999999999" customHeight="1" thickBot="1">
      <c r="B102" s="21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5"/>
      <c r="Q102" s="35"/>
      <c r="R102" s="35"/>
      <c r="S102" s="35"/>
      <c r="AG102" s="26"/>
    </row>
    <row r="103" spans="2:33" ht="37.15" customHeight="1" thickBot="1">
      <c r="B103" s="21"/>
      <c r="E103" s="263" t="s">
        <v>111</v>
      </c>
      <c r="F103" s="264"/>
      <c r="G103" s="264"/>
      <c r="H103" s="264"/>
      <c r="I103" s="265"/>
      <c r="J103" s="231" t="s">
        <v>112</v>
      </c>
      <c r="K103" s="231"/>
      <c r="L103" s="231"/>
      <c r="M103" s="232"/>
      <c r="N103" s="266" t="s">
        <v>56</v>
      </c>
      <c r="O103" s="266"/>
      <c r="P103" s="266"/>
      <c r="Q103" s="266"/>
      <c r="R103" s="266"/>
      <c r="S103" s="267" t="s">
        <v>57</v>
      </c>
      <c r="T103" s="268"/>
      <c r="U103" s="268"/>
      <c r="V103" s="268"/>
      <c r="W103" s="268"/>
      <c r="X103" s="269"/>
      <c r="Z103" s="29"/>
      <c r="AA103" s="29"/>
      <c r="AB103" s="29"/>
      <c r="AG103" s="26"/>
    </row>
    <row r="104" spans="2:33" ht="16.899999999999999" customHeight="1">
      <c r="B104" s="21"/>
      <c r="E104" s="282" t="s">
        <v>113</v>
      </c>
      <c r="F104" s="283"/>
      <c r="G104" s="283"/>
      <c r="H104" s="283"/>
      <c r="I104" s="284"/>
      <c r="J104" s="239"/>
      <c r="K104" s="239"/>
      <c r="L104" s="239"/>
      <c r="M104" s="239"/>
      <c r="N104" s="262">
        <f>IF(J104="No Trip",1,9)</f>
        <v>9</v>
      </c>
      <c r="O104" s="262"/>
      <c r="P104" s="262"/>
      <c r="Q104" s="262"/>
      <c r="R104" s="262"/>
      <c r="S104" s="285"/>
      <c r="T104" s="286"/>
      <c r="U104" s="286"/>
      <c r="V104" s="286"/>
      <c r="W104" s="286"/>
      <c r="X104" s="287"/>
      <c r="AG104" s="26"/>
    </row>
    <row r="105" spans="2:33" ht="16.899999999999999" customHeight="1" thickBot="1">
      <c r="B105" s="21"/>
      <c r="E105" s="288" t="s">
        <v>114</v>
      </c>
      <c r="F105" s="289"/>
      <c r="G105" s="289"/>
      <c r="H105" s="289"/>
      <c r="I105" s="290"/>
      <c r="J105" s="251"/>
      <c r="K105" s="251"/>
      <c r="L105" s="251"/>
      <c r="M105" s="251"/>
      <c r="N105" s="261">
        <f>IF(J105="Trip",1,9)</f>
        <v>9</v>
      </c>
      <c r="O105" s="261"/>
      <c r="P105" s="261"/>
      <c r="Q105" s="261"/>
      <c r="R105" s="261"/>
      <c r="S105" s="291"/>
      <c r="T105" s="292"/>
      <c r="U105" s="292"/>
      <c r="V105" s="292"/>
      <c r="W105" s="292"/>
      <c r="X105" s="293"/>
      <c r="AG105" s="26"/>
    </row>
    <row r="106" spans="2:33" ht="16.899999999999999" customHeight="1">
      <c r="B106" s="21"/>
      <c r="E106" s="39"/>
      <c r="F106" s="39"/>
      <c r="G106" s="39"/>
      <c r="H106" s="39"/>
      <c r="I106" s="39"/>
      <c r="J106" s="39"/>
      <c r="K106" s="39"/>
      <c r="L106" s="39"/>
      <c r="M106" s="39"/>
      <c r="N106" s="36"/>
      <c r="O106" s="36"/>
      <c r="P106" s="36"/>
      <c r="Q106" s="36"/>
      <c r="R106" s="36"/>
      <c r="S106" s="35"/>
      <c r="T106" s="35"/>
      <c r="U106" s="35"/>
      <c r="V106" s="35"/>
      <c r="W106" s="35"/>
      <c r="X106" s="35"/>
      <c r="AG106" s="26"/>
    </row>
    <row r="107" spans="2:33" ht="16.899999999999999" customHeight="1">
      <c r="B107" s="21"/>
      <c r="E107" s="253" t="s">
        <v>115</v>
      </c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5"/>
      <c r="S107" s="256">
        <f>MIN(N104,N105)</f>
        <v>9</v>
      </c>
      <c r="T107" s="256"/>
      <c r="U107" s="256"/>
      <c r="V107" s="256"/>
      <c r="W107" s="35"/>
      <c r="X107" s="35"/>
      <c r="AG107" s="26"/>
    </row>
    <row r="108" spans="2:33" ht="16.899999999999999" customHeight="1">
      <c r="B108" s="21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5"/>
      <c r="Q108" s="35"/>
      <c r="R108" s="35"/>
      <c r="S108" s="35"/>
      <c r="AG108" s="26"/>
    </row>
    <row r="109" spans="2:33" ht="16.899999999999999" customHeight="1">
      <c r="B109" s="21"/>
      <c r="C109" s="29" t="s">
        <v>116</v>
      </c>
      <c r="D109" s="29"/>
      <c r="E109" s="29" t="s">
        <v>117</v>
      </c>
      <c r="AG109" s="26"/>
    </row>
    <row r="110" spans="2:33" ht="16.899999999999999" customHeight="1">
      <c r="B110" s="21"/>
      <c r="E110" s="270" t="s">
        <v>118</v>
      </c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2"/>
      <c r="AG110" s="26"/>
    </row>
    <row r="111" spans="2:33" ht="16.899999999999999" customHeight="1">
      <c r="B111" s="21"/>
      <c r="E111" s="273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  <c r="AE111" s="274"/>
      <c r="AF111" s="275"/>
      <c r="AG111" s="26"/>
    </row>
    <row r="112" spans="2:33" ht="16.899999999999999" customHeight="1">
      <c r="B112" s="21"/>
      <c r="E112" s="273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  <c r="AE112" s="274"/>
      <c r="AF112" s="275"/>
      <c r="AG112" s="26"/>
    </row>
    <row r="113" spans="2:33" ht="16.899999999999999" customHeight="1">
      <c r="B113" s="21"/>
      <c r="E113" s="276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8"/>
      <c r="AG113" s="26"/>
    </row>
    <row r="114" spans="2:33" ht="16.899999999999999" customHeight="1">
      <c r="B114" s="21"/>
      <c r="AG114" s="26"/>
    </row>
    <row r="115" spans="2:33" ht="16.899999999999999" customHeight="1">
      <c r="B115" s="21"/>
      <c r="C115" s="29" t="s">
        <v>119</v>
      </c>
      <c r="D115" s="29"/>
      <c r="E115" s="29" t="s">
        <v>120</v>
      </c>
      <c r="F115" s="29"/>
      <c r="G115" s="29"/>
      <c r="H115" s="29"/>
      <c r="I115" s="29"/>
      <c r="AG115" s="26"/>
    </row>
    <row r="116" spans="2:33" ht="16.899999999999999" customHeight="1">
      <c r="B116" s="21"/>
      <c r="E116" s="253" t="s">
        <v>121</v>
      </c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5"/>
      <c r="S116" s="279">
        <f>MIN(S15,S25,S35,S45,S55,S65,S73,S81,S91,S99,S107)</f>
        <v>9</v>
      </c>
      <c r="T116" s="256"/>
      <c r="U116" s="256"/>
      <c r="V116" s="256"/>
      <c r="AG116" s="26"/>
    </row>
    <row r="117" spans="2:33" ht="16.899999999999999" customHeight="1">
      <c r="B117" s="21"/>
      <c r="AG117" s="26"/>
    </row>
    <row r="118" spans="2:33" ht="24.6" customHeight="1">
      <c r="B118" s="21"/>
      <c r="E118" s="40" t="s">
        <v>122</v>
      </c>
      <c r="F118" s="280" t="s">
        <v>123</v>
      </c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1"/>
    </row>
    <row r="119" spans="2:33" ht="16.899999999999999" customHeight="1">
      <c r="B119" s="21"/>
      <c r="C119" s="298" t="s">
        <v>19</v>
      </c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300"/>
      <c r="S119" s="301" t="s">
        <v>20</v>
      </c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26"/>
    </row>
    <row r="120" spans="2:33" ht="16.899999999999999" customHeight="1">
      <c r="B120" s="21"/>
      <c r="C120" s="41">
        <v>1</v>
      </c>
      <c r="D120" s="295" t="s">
        <v>283</v>
      </c>
      <c r="E120" s="296"/>
      <c r="F120" s="296"/>
      <c r="G120" s="296"/>
      <c r="H120" s="296"/>
      <c r="I120" s="296"/>
      <c r="J120" s="296"/>
      <c r="K120" s="296"/>
      <c r="L120" s="296"/>
      <c r="M120" s="296"/>
      <c r="N120" s="297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  <c r="AF120" s="294"/>
      <c r="AG120" s="26"/>
    </row>
    <row r="121" spans="2:33" ht="16.899999999999999" customHeight="1">
      <c r="B121" s="21"/>
      <c r="C121" s="41">
        <v>2</v>
      </c>
      <c r="D121" s="295" t="s">
        <v>124</v>
      </c>
      <c r="E121" s="296"/>
      <c r="F121" s="296"/>
      <c r="G121" s="296"/>
      <c r="H121" s="296"/>
      <c r="I121" s="296"/>
      <c r="J121" s="296"/>
      <c r="K121" s="296"/>
      <c r="L121" s="296"/>
      <c r="M121" s="296"/>
      <c r="N121" s="297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4"/>
      <c r="AF121" s="294"/>
      <c r="AG121" s="26"/>
    </row>
    <row r="122" spans="2:33" ht="16.899999999999999" customHeight="1">
      <c r="B122" s="21"/>
      <c r="C122" s="41">
        <v>3</v>
      </c>
      <c r="D122" s="295" t="s">
        <v>125</v>
      </c>
      <c r="E122" s="296"/>
      <c r="F122" s="296"/>
      <c r="G122" s="296"/>
      <c r="H122" s="296"/>
      <c r="I122" s="296"/>
      <c r="J122" s="296"/>
      <c r="K122" s="296"/>
      <c r="L122" s="296"/>
      <c r="M122" s="296"/>
      <c r="N122" s="297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  <c r="AF122" s="294"/>
      <c r="AG122" s="26"/>
    </row>
    <row r="123" spans="2:33" ht="16.899999999999999" customHeight="1">
      <c r="B123" s="21"/>
      <c r="C123" s="41">
        <v>4</v>
      </c>
      <c r="D123" s="295"/>
      <c r="E123" s="296"/>
      <c r="F123" s="296"/>
      <c r="G123" s="296"/>
      <c r="H123" s="296"/>
      <c r="I123" s="296"/>
      <c r="J123" s="296"/>
      <c r="K123" s="296"/>
      <c r="L123" s="296"/>
      <c r="M123" s="296"/>
      <c r="N123" s="297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  <c r="AF123" s="294"/>
      <c r="AG123" s="26"/>
    </row>
    <row r="124" spans="2:33" ht="16.899999999999999" customHeight="1">
      <c r="B124" s="21"/>
      <c r="C124" s="41">
        <v>5</v>
      </c>
      <c r="D124" s="295"/>
      <c r="E124" s="296"/>
      <c r="F124" s="296"/>
      <c r="G124" s="296"/>
      <c r="H124" s="296"/>
      <c r="I124" s="296"/>
      <c r="J124" s="296"/>
      <c r="K124" s="296"/>
      <c r="L124" s="296"/>
      <c r="M124" s="296"/>
      <c r="N124" s="297"/>
      <c r="O124" s="294"/>
      <c r="P124" s="294"/>
      <c r="Q124" s="294"/>
      <c r="R124" s="294"/>
      <c r="S124" s="294" t="s">
        <v>284</v>
      </c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  <c r="AF124" s="294"/>
      <c r="AG124" s="26"/>
    </row>
    <row r="125" spans="2:33" ht="16.899999999999999" customHeight="1" thickBot="1">
      <c r="B125" s="42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4"/>
    </row>
  </sheetData>
  <sheetProtection algorithmName="SHA-512" hashValue="PoMNWA2wkmt4pi/9ZhGk5NyXxnNGp4539ghdZNlqk5W89cy1hOShaVI64bhuleX16HAEA+D0qlN2xvtDVHFQ/g==" saltValue="Cpl+EIJR0JS0HMAhiDx8vQ==" spinCount="100000" sheet="1" scenarios="1"/>
  <mergeCells count="364">
    <mergeCell ref="O123:R123"/>
    <mergeCell ref="D124:N124"/>
    <mergeCell ref="O124:R124"/>
    <mergeCell ref="S124:AF124"/>
    <mergeCell ref="C119:R119"/>
    <mergeCell ref="S119:AF119"/>
    <mergeCell ref="D120:N120"/>
    <mergeCell ref="O120:R120"/>
    <mergeCell ref="S120:AF123"/>
    <mergeCell ref="D121:N121"/>
    <mergeCell ref="O121:R121"/>
    <mergeCell ref="D122:N122"/>
    <mergeCell ref="O122:R122"/>
    <mergeCell ref="D123:N123"/>
    <mergeCell ref="E107:R107"/>
    <mergeCell ref="S107:V107"/>
    <mergeCell ref="E110:AF113"/>
    <mergeCell ref="E116:R116"/>
    <mergeCell ref="S116:V116"/>
    <mergeCell ref="F118:AG118"/>
    <mergeCell ref="E104:I104"/>
    <mergeCell ref="J104:M104"/>
    <mergeCell ref="N104:R104"/>
    <mergeCell ref="S104:X104"/>
    <mergeCell ref="E105:I105"/>
    <mergeCell ref="J105:M105"/>
    <mergeCell ref="N105:R105"/>
    <mergeCell ref="S105:X105"/>
    <mergeCell ref="E99:R99"/>
    <mergeCell ref="S99:V99"/>
    <mergeCell ref="E103:I103"/>
    <mergeCell ref="J103:M103"/>
    <mergeCell ref="N103:R103"/>
    <mergeCell ref="S103:X103"/>
    <mergeCell ref="Z96:AF96"/>
    <mergeCell ref="E97:F97"/>
    <mergeCell ref="G97:I97"/>
    <mergeCell ref="J97:M97"/>
    <mergeCell ref="N97:Q97"/>
    <mergeCell ref="R97:U97"/>
    <mergeCell ref="V97:Y97"/>
    <mergeCell ref="Z97:AF97"/>
    <mergeCell ref="E96:F96"/>
    <mergeCell ref="G96:I96"/>
    <mergeCell ref="J96:M96"/>
    <mergeCell ref="N96:Q96"/>
    <mergeCell ref="R96:U96"/>
    <mergeCell ref="V96:Y96"/>
    <mergeCell ref="Z89:AF89"/>
    <mergeCell ref="E91:R91"/>
    <mergeCell ref="S91:V91"/>
    <mergeCell ref="E95:F95"/>
    <mergeCell ref="G95:I95"/>
    <mergeCell ref="J95:M95"/>
    <mergeCell ref="N95:Q95"/>
    <mergeCell ref="R95:U95"/>
    <mergeCell ref="V95:Y95"/>
    <mergeCell ref="Z95:AF95"/>
    <mergeCell ref="E89:F89"/>
    <mergeCell ref="G89:I89"/>
    <mergeCell ref="J89:M89"/>
    <mergeCell ref="N89:Q89"/>
    <mergeCell ref="R89:U89"/>
    <mergeCell ref="V89:Y89"/>
    <mergeCell ref="Z87:AF87"/>
    <mergeCell ref="E88:F88"/>
    <mergeCell ref="G88:I88"/>
    <mergeCell ref="J88:M88"/>
    <mergeCell ref="N88:Q88"/>
    <mergeCell ref="R88:U88"/>
    <mergeCell ref="V88:Y88"/>
    <mergeCell ref="Z88:AF88"/>
    <mergeCell ref="E87:F87"/>
    <mergeCell ref="G87:I87"/>
    <mergeCell ref="J87:M87"/>
    <mergeCell ref="N87:Q87"/>
    <mergeCell ref="R87:U87"/>
    <mergeCell ref="V87:Y87"/>
    <mergeCell ref="Z85:AF85"/>
    <mergeCell ref="E86:F86"/>
    <mergeCell ref="G86:I86"/>
    <mergeCell ref="J86:M86"/>
    <mergeCell ref="N86:Q86"/>
    <mergeCell ref="R86:U86"/>
    <mergeCell ref="V86:Y86"/>
    <mergeCell ref="Z86:AF86"/>
    <mergeCell ref="E81:R81"/>
    <mergeCell ref="S81:V81"/>
    <mergeCell ref="E85:F85"/>
    <mergeCell ref="G85:I85"/>
    <mergeCell ref="J85:M85"/>
    <mergeCell ref="N85:Q85"/>
    <mergeCell ref="R85:U85"/>
    <mergeCell ref="V85:Y85"/>
    <mergeCell ref="Z78:AF78"/>
    <mergeCell ref="E79:F79"/>
    <mergeCell ref="G79:I79"/>
    <mergeCell ref="J79:M79"/>
    <mergeCell ref="N79:Q79"/>
    <mergeCell ref="R79:U79"/>
    <mergeCell ref="V79:Y79"/>
    <mergeCell ref="Z79:AF79"/>
    <mergeCell ref="E78:F78"/>
    <mergeCell ref="G78:I78"/>
    <mergeCell ref="J78:M78"/>
    <mergeCell ref="N78:Q78"/>
    <mergeCell ref="R78:U78"/>
    <mergeCell ref="V78:Y78"/>
    <mergeCell ref="Z71:AF71"/>
    <mergeCell ref="E73:R73"/>
    <mergeCell ref="S73:V73"/>
    <mergeCell ref="E77:F77"/>
    <mergeCell ref="G77:I77"/>
    <mergeCell ref="J77:M77"/>
    <mergeCell ref="N77:Q77"/>
    <mergeCell ref="R77:U77"/>
    <mergeCell ref="V77:Y77"/>
    <mergeCell ref="Z77:AF77"/>
    <mergeCell ref="E71:F71"/>
    <mergeCell ref="G71:I71"/>
    <mergeCell ref="J71:M71"/>
    <mergeCell ref="N71:Q71"/>
    <mergeCell ref="R71:U71"/>
    <mergeCell ref="V71:Y71"/>
    <mergeCell ref="Z69:AF69"/>
    <mergeCell ref="E70:F70"/>
    <mergeCell ref="G70:I70"/>
    <mergeCell ref="J70:M70"/>
    <mergeCell ref="N70:Q70"/>
    <mergeCell ref="R70:U70"/>
    <mergeCell ref="V70:Y70"/>
    <mergeCell ref="Z70:AF70"/>
    <mergeCell ref="E65:R65"/>
    <mergeCell ref="S65:V65"/>
    <mergeCell ref="E69:F69"/>
    <mergeCell ref="G69:I69"/>
    <mergeCell ref="J69:M69"/>
    <mergeCell ref="N69:Q69"/>
    <mergeCell ref="R69:U69"/>
    <mergeCell ref="V69:Y69"/>
    <mergeCell ref="Z62:AF62"/>
    <mergeCell ref="E63:F63"/>
    <mergeCell ref="G63:I63"/>
    <mergeCell ref="J63:M63"/>
    <mergeCell ref="N63:Q63"/>
    <mergeCell ref="R63:U63"/>
    <mergeCell ref="V63:Y63"/>
    <mergeCell ref="Z63:AF63"/>
    <mergeCell ref="E62:F62"/>
    <mergeCell ref="G62:I62"/>
    <mergeCell ref="J62:M62"/>
    <mergeCell ref="N62:Q62"/>
    <mergeCell ref="R62:U62"/>
    <mergeCell ref="V62:Y62"/>
    <mergeCell ref="Z60:AF60"/>
    <mergeCell ref="E61:F61"/>
    <mergeCell ref="G61:I61"/>
    <mergeCell ref="J61:M61"/>
    <mergeCell ref="N61:Q61"/>
    <mergeCell ref="R61:U61"/>
    <mergeCell ref="V61:Y61"/>
    <mergeCell ref="Z61:AF61"/>
    <mergeCell ref="E60:F60"/>
    <mergeCell ref="G60:I60"/>
    <mergeCell ref="J60:M60"/>
    <mergeCell ref="N60:Q60"/>
    <mergeCell ref="R60:U60"/>
    <mergeCell ref="V60:Y60"/>
    <mergeCell ref="Z53:AF53"/>
    <mergeCell ref="E55:R55"/>
    <mergeCell ref="S55:V55"/>
    <mergeCell ref="E59:F59"/>
    <mergeCell ref="G59:I59"/>
    <mergeCell ref="J59:M59"/>
    <mergeCell ref="N59:Q59"/>
    <mergeCell ref="R59:U59"/>
    <mergeCell ref="V59:Y59"/>
    <mergeCell ref="Z59:AF59"/>
    <mergeCell ref="E53:F53"/>
    <mergeCell ref="G53:I53"/>
    <mergeCell ref="J53:M53"/>
    <mergeCell ref="N53:Q53"/>
    <mergeCell ref="R53:U53"/>
    <mergeCell ref="V53:Y53"/>
    <mergeCell ref="Z51:AF51"/>
    <mergeCell ref="E52:F52"/>
    <mergeCell ref="G52:I52"/>
    <mergeCell ref="J52:M52"/>
    <mergeCell ref="N52:Q52"/>
    <mergeCell ref="R52:U52"/>
    <mergeCell ref="V52:Y52"/>
    <mergeCell ref="Z52:AF52"/>
    <mergeCell ref="E51:F51"/>
    <mergeCell ref="G51:I51"/>
    <mergeCell ref="J51:M51"/>
    <mergeCell ref="N51:Q51"/>
    <mergeCell ref="R51:U51"/>
    <mergeCell ref="V51:Y51"/>
    <mergeCell ref="Z49:AF49"/>
    <mergeCell ref="E50:F50"/>
    <mergeCell ref="G50:I50"/>
    <mergeCell ref="J50:M50"/>
    <mergeCell ref="N50:Q50"/>
    <mergeCell ref="R50:U50"/>
    <mergeCell ref="V50:Y50"/>
    <mergeCell ref="Z50:AF50"/>
    <mergeCell ref="E45:R45"/>
    <mergeCell ref="S45:V45"/>
    <mergeCell ref="E49:F49"/>
    <mergeCell ref="G49:I49"/>
    <mergeCell ref="J49:M49"/>
    <mergeCell ref="N49:Q49"/>
    <mergeCell ref="R49:U49"/>
    <mergeCell ref="V49:Y49"/>
    <mergeCell ref="Z42:AF42"/>
    <mergeCell ref="E43:F43"/>
    <mergeCell ref="G43:I43"/>
    <mergeCell ref="J43:M43"/>
    <mergeCell ref="N43:Q43"/>
    <mergeCell ref="R43:U43"/>
    <mergeCell ref="V43:Y43"/>
    <mergeCell ref="Z43:AF43"/>
    <mergeCell ref="E42:F42"/>
    <mergeCell ref="G42:I42"/>
    <mergeCell ref="J42:M42"/>
    <mergeCell ref="N42:Q42"/>
    <mergeCell ref="R42:U42"/>
    <mergeCell ref="V42:Y42"/>
    <mergeCell ref="Z40:AF40"/>
    <mergeCell ref="E41:F41"/>
    <mergeCell ref="G41:I41"/>
    <mergeCell ref="J41:M41"/>
    <mergeCell ref="N41:Q41"/>
    <mergeCell ref="R41:U41"/>
    <mergeCell ref="V41:Y41"/>
    <mergeCell ref="Z41:AF41"/>
    <mergeCell ref="E40:F40"/>
    <mergeCell ref="G40:I40"/>
    <mergeCell ref="J40:M40"/>
    <mergeCell ref="N40:Q40"/>
    <mergeCell ref="R40:U40"/>
    <mergeCell ref="V40:Y40"/>
    <mergeCell ref="Z33:AF33"/>
    <mergeCell ref="E35:R35"/>
    <mergeCell ref="S35:V35"/>
    <mergeCell ref="E39:F39"/>
    <mergeCell ref="G39:I39"/>
    <mergeCell ref="J39:M39"/>
    <mergeCell ref="N39:Q39"/>
    <mergeCell ref="R39:U39"/>
    <mergeCell ref="V39:Y39"/>
    <mergeCell ref="Z39:AF39"/>
    <mergeCell ref="E33:F33"/>
    <mergeCell ref="G33:I33"/>
    <mergeCell ref="J33:M33"/>
    <mergeCell ref="N33:Q33"/>
    <mergeCell ref="R33:U33"/>
    <mergeCell ref="V33:Y33"/>
    <mergeCell ref="Z31:AF31"/>
    <mergeCell ref="E32:F32"/>
    <mergeCell ref="G32:I32"/>
    <mergeCell ref="J32:M32"/>
    <mergeCell ref="N32:Q32"/>
    <mergeCell ref="R32:U32"/>
    <mergeCell ref="V32:Y32"/>
    <mergeCell ref="Z32:AF32"/>
    <mergeCell ref="E31:F31"/>
    <mergeCell ref="G31:I31"/>
    <mergeCell ref="J31:M31"/>
    <mergeCell ref="N31:Q31"/>
    <mergeCell ref="R31:U31"/>
    <mergeCell ref="V31:Y31"/>
    <mergeCell ref="Z29:AF29"/>
    <mergeCell ref="E30:F30"/>
    <mergeCell ref="G30:I30"/>
    <mergeCell ref="J30:M30"/>
    <mergeCell ref="N30:Q30"/>
    <mergeCell ref="R30:U30"/>
    <mergeCell ref="V30:Y30"/>
    <mergeCell ref="Z30:AF30"/>
    <mergeCell ref="E25:R25"/>
    <mergeCell ref="S25:V25"/>
    <mergeCell ref="E29:F29"/>
    <mergeCell ref="G29:I29"/>
    <mergeCell ref="J29:M29"/>
    <mergeCell ref="N29:Q29"/>
    <mergeCell ref="R29:U29"/>
    <mergeCell ref="V29:Y29"/>
    <mergeCell ref="Z22:AF22"/>
    <mergeCell ref="E23:F23"/>
    <mergeCell ref="G23:I23"/>
    <mergeCell ref="J23:M23"/>
    <mergeCell ref="N23:Q23"/>
    <mergeCell ref="R23:U23"/>
    <mergeCell ref="V23:Y23"/>
    <mergeCell ref="Z23:AF23"/>
    <mergeCell ref="E22:F22"/>
    <mergeCell ref="G22:I22"/>
    <mergeCell ref="J22:M22"/>
    <mergeCell ref="N22:Q22"/>
    <mergeCell ref="R22:U22"/>
    <mergeCell ref="V22:Y22"/>
    <mergeCell ref="Z20:AF20"/>
    <mergeCell ref="E21:F21"/>
    <mergeCell ref="G21:I21"/>
    <mergeCell ref="J21:M21"/>
    <mergeCell ref="N21:Q21"/>
    <mergeCell ref="R21:U21"/>
    <mergeCell ref="V21:Y21"/>
    <mergeCell ref="Z21:AF21"/>
    <mergeCell ref="E20:F20"/>
    <mergeCell ref="G20:I20"/>
    <mergeCell ref="J20:M20"/>
    <mergeCell ref="N20:Q20"/>
    <mergeCell ref="R20:U20"/>
    <mergeCell ref="V20:Y20"/>
    <mergeCell ref="Z13:AF13"/>
    <mergeCell ref="E15:R15"/>
    <mergeCell ref="S15:V15"/>
    <mergeCell ref="E19:F19"/>
    <mergeCell ref="G19:I19"/>
    <mergeCell ref="J19:M19"/>
    <mergeCell ref="N19:Q19"/>
    <mergeCell ref="R19:U19"/>
    <mergeCell ref="V19:Y19"/>
    <mergeCell ref="Z19:AF19"/>
    <mergeCell ref="E13:F13"/>
    <mergeCell ref="G13:I13"/>
    <mergeCell ref="J13:M13"/>
    <mergeCell ref="N13:Q13"/>
    <mergeCell ref="R13:U13"/>
    <mergeCell ref="V13:Y13"/>
    <mergeCell ref="Z11:AF11"/>
    <mergeCell ref="E12:F12"/>
    <mergeCell ref="G12:I12"/>
    <mergeCell ref="J12:M12"/>
    <mergeCell ref="N12:Q12"/>
    <mergeCell ref="R12:U12"/>
    <mergeCell ref="V12:Y12"/>
    <mergeCell ref="Z12:AF12"/>
    <mergeCell ref="E11:F11"/>
    <mergeCell ref="G11:I11"/>
    <mergeCell ref="J11:M11"/>
    <mergeCell ref="N11:Q11"/>
    <mergeCell ref="R11:U11"/>
    <mergeCell ref="V11:Y11"/>
    <mergeCell ref="V9:Y9"/>
    <mergeCell ref="Z9:AF9"/>
    <mergeCell ref="E10:F10"/>
    <mergeCell ref="G10:I10"/>
    <mergeCell ref="J10:M10"/>
    <mergeCell ref="N10:Q10"/>
    <mergeCell ref="R10:U10"/>
    <mergeCell ref="V10:Y10"/>
    <mergeCell ref="Z10:AF10"/>
    <mergeCell ref="E4:F4"/>
    <mergeCell ref="H4:Q4"/>
    <mergeCell ref="E5:F5"/>
    <mergeCell ref="H5:Q5"/>
    <mergeCell ref="E9:F9"/>
    <mergeCell ref="G9:I9"/>
    <mergeCell ref="J9:M9"/>
    <mergeCell ref="N9:Q9"/>
    <mergeCell ref="R9:U9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3" orientation="portrait" r:id="rId1"/>
  <rowBreaks count="2" manualBreakCount="2">
    <brk id="46" min="1" max="32" man="1"/>
    <brk id="92" min="1" max="3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1982-EC67-4EDB-9BFC-8D7279347B86}">
  <dimension ref="B2:L59"/>
  <sheetViews>
    <sheetView showGridLines="0" view="pageBreakPreview" topLeftCell="A4" zoomScale="90" zoomScaleNormal="100" zoomScaleSheetLayoutView="90" workbookViewId="0">
      <selection activeCell="G19" sqref="G19:H20"/>
    </sheetView>
  </sheetViews>
  <sheetFormatPr defaultColWidth="2.140625" defaultRowHeight="13.5"/>
  <cols>
    <col min="1" max="1" width="4" style="54" customWidth="1"/>
    <col min="2" max="2" width="11.42578125" style="54" customWidth="1"/>
    <col min="3" max="5" width="10.7109375" style="54" customWidth="1"/>
    <col min="6" max="6" width="13.85546875" style="54" customWidth="1"/>
    <col min="7" max="7" width="15.42578125" style="54" customWidth="1"/>
    <col min="8" max="8" width="12.5703125" style="54" customWidth="1"/>
    <col min="9" max="9" width="12.140625" style="54" customWidth="1"/>
    <col min="10" max="10" width="9.7109375" style="54" customWidth="1"/>
    <col min="11" max="11" width="3.28515625" style="54" customWidth="1"/>
    <col min="12" max="12" width="4.42578125" style="54" customWidth="1"/>
    <col min="13" max="254" width="9.140625" style="54" customWidth="1"/>
    <col min="255" max="255" width="3.7109375" style="54" customWidth="1"/>
    <col min="256" max="256" width="2.140625" style="54"/>
    <col min="257" max="257" width="4" style="54" customWidth="1"/>
    <col min="258" max="258" width="11.42578125" style="54" customWidth="1"/>
    <col min="259" max="261" width="10.7109375" style="54" customWidth="1"/>
    <col min="262" max="262" width="13.85546875" style="54" customWidth="1"/>
    <col min="263" max="263" width="15.42578125" style="54" customWidth="1"/>
    <col min="264" max="264" width="12.5703125" style="54" customWidth="1"/>
    <col min="265" max="265" width="12.140625" style="54" customWidth="1"/>
    <col min="266" max="266" width="9.7109375" style="54" customWidth="1"/>
    <col min="267" max="267" width="3.28515625" style="54" customWidth="1"/>
    <col min="268" max="268" width="4.42578125" style="54" customWidth="1"/>
    <col min="269" max="510" width="9.140625" style="54" customWidth="1"/>
    <col min="511" max="511" width="3.7109375" style="54" customWidth="1"/>
    <col min="512" max="512" width="2.140625" style="54"/>
    <col min="513" max="513" width="4" style="54" customWidth="1"/>
    <col min="514" max="514" width="11.42578125" style="54" customWidth="1"/>
    <col min="515" max="517" width="10.7109375" style="54" customWidth="1"/>
    <col min="518" max="518" width="13.85546875" style="54" customWidth="1"/>
    <col min="519" max="519" width="15.42578125" style="54" customWidth="1"/>
    <col min="520" max="520" width="12.5703125" style="54" customWidth="1"/>
    <col min="521" max="521" width="12.140625" style="54" customWidth="1"/>
    <col min="522" max="522" width="9.7109375" style="54" customWidth="1"/>
    <col min="523" max="523" width="3.28515625" style="54" customWidth="1"/>
    <col min="524" max="524" width="4.42578125" style="54" customWidth="1"/>
    <col min="525" max="766" width="9.140625" style="54" customWidth="1"/>
    <col min="767" max="767" width="3.7109375" style="54" customWidth="1"/>
    <col min="768" max="768" width="2.140625" style="54"/>
    <col min="769" max="769" width="4" style="54" customWidth="1"/>
    <col min="770" max="770" width="11.42578125" style="54" customWidth="1"/>
    <col min="771" max="773" width="10.7109375" style="54" customWidth="1"/>
    <col min="774" max="774" width="13.85546875" style="54" customWidth="1"/>
    <col min="775" max="775" width="15.42578125" style="54" customWidth="1"/>
    <col min="776" max="776" width="12.5703125" style="54" customWidth="1"/>
    <col min="777" max="777" width="12.140625" style="54" customWidth="1"/>
    <col min="778" max="778" width="9.7109375" style="54" customWidth="1"/>
    <col min="779" max="779" width="3.28515625" style="54" customWidth="1"/>
    <col min="780" max="780" width="4.42578125" style="54" customWidth="1"/>
    <col min="781" max="1022" width="9.140625" style="54" customWidth="1"/>
    <col min="1023" max="1023" width="3.7109375" style="54" customWidth="1"/>
    <col min="1024" max="1024" width="2.140625" style="54"/>
    <col min="1025" max="1025" width="4" style="54" customWidth="1"/>
    <col min="1026" max="1026" width="11.42578125" style="54" customWidth="1"/>
    <col min="1027" max="1029" width="10.7109375" style="54" customWidth="1"/>
    <col min="1030" max="1030" width="13.85546875" style="54" customWidth="1"/>
    <col min="1031" max="1031" width="15.42578125" style="54" customWidth="1"/>
    <col min="1032" max="1032" width="12.5703125" style="54" customWidth="1"/>
    <col min="1033" max="1033" width="12.140625" style="54" customWidth="1"/>
    <col min="1034" max="1034" width="9.7109375" style="54" customWidth="1"/>
    <col min="1035" max="1035" width="3.28515625" style="54" customWidth="1"/>
    <col min="1036" max="1036" width="4.42578125" style="54" customWidth="1"/>
    <col min="1037" max="1278" width="9.140625" style="54" customWidth="1"/>
    <col min="1279" max="1279" width="3.7109375" style="54" customWidth="1"/>
    <col min="1280" max="1280" width="2.140625" style="54"/>
    <col min="1281" max="1281" width="4" style="54" customWidth="1"/>
    <col min="1282" max="1282" width="11.42578125" style="54" customWidth="1"/>
    <col min="1283" max="1285" width="10.7109375" style="54" customWidth="1"/>
    <col min="1286" max="1286" width="13.85546875" style="54" customWidth="1"/>
    <col min="1287" max="1287" width="15.42578125" style="54" customWidth="1"/>
    <col min="1288" max="1288" width="12.5703125" style="54" customWidth="1"/>
    <col min="1289" max="1289" width="12.140625" style="54" customWidth="1"/>
    <col min="1290" max="1290" width="9.7109375" style="54" customWidth="1"/>
    <col min="1291" max="1291" width="3.28515625" style="54" customWidth="1"/>
    <col min="1292" max="1292" width="4.42578125" style="54" customWidth="1"/>
    <col min="1293" max="1534" width="9.140625" style="54" customWidth="1"/>
    <col min="1535" max="1535" width="3.7109375" style="54" customWidth="1"/>
    <col min="1536" max="1536" width="2.140625" style="54"/>
    <col min="1537" max="1537" width="4" style="54" customWidth="1"/>
    <col min="1538" max="1538" width="11.42578125" style="54" customWidth="1"/>
    <col min="1539" max="1541" width="10.7109375" style="54" customWidth="1"/>
    <col min="1542" max="1542" width="13.85546875" style="54" customWidth="1"/>
    <col min="1543" max="1543" width="15.42578125" style="54" customWidth="1"/>
    <col min="1544" max="1544" width="12.5703125" style="54" customWidth="1"/>
    <col min="1545" max="1545" width="12.140625" style="54" customWidth="1"/>
    <col min="1546" max="1546" width="9.7109375" style="54" customWidth="1"/>
    <col min="1547" max="1547" width="3.28515625" style="54" customWidth="1"/>
    <col min="1548" max="1548" width="4.42578125" style="54" customWidth="1"/>
    <col min="1549" max="1790" width="9.140625" style="54" customWidth="1"/>
    <col min="1791" max="1791" width="3.7109375" style="54" customWidth="1"/>
    <col min="1792" max="1792" width="2.140625" style="54"/>
    <col min="1793" max="1793" width="4" style="54" customWidth="1"/>
    <col min="1794" max="1794" width="11.42578125" style="54" customWidth="1"/>
    <col min="1795" max="1797" width="10.7109375" style="54" customWidth="1"/>
    <col min="1798" max="1798" width="13.85546875" style="54" customWidth="1"/>
    <col min="1799" max="1799" width="15.42578125" style="54" customWidth="1"/>
    <col min="1800" max="1800" width="12.5703125" style="54" customWidth="1"/>
    <col min="1801" max="1801" width="12.140625" style="54" customWidth="1"/>
    <col min="1802" max="1802" width="9.7109375" style="54" customWidth="1"/>
    <col min="1803" max="1803" width="3.28515625" style="54" customWidth="1"/>
    <col min="1804" max="1804" width="4.42578125" style="54" customWidth="1"/>
    <col min="1805" max="2046" width="9.140625" style="54" customWidth="1"/>
    <col min="2047" max="2047" width="3.7109375" style="54" customWidth="1"/>
    <col min="2048" max="2048" width="2.140625" style="54"/>
    <col min="2049" max="2049" width="4" style="54" customWidth="1"/>
    <col min="2050" max="2050" width="11.42578125" style="54" customWidth="1"/>
    <col min="2051" max="2053" width="10.7109375" style="54" customWidth="1"/>
    <col min="2054" max="2054" width="13.85546875" style="54" customWidth="1"/>
    <col min="2055" max="2055" width="15.42578125" style="54" customWidth="1"/>
    <col min="2056" max="2056" width="12.5703125" style="54" customWidth="1"/>
    <col min="2057" max="2057" width="12.140625" style="54" customWidth="1"/>
    <col min="2058" max="2058" width="9.7109375" style="54" customWidth="1"/>
    <col min="2059" max="2059" width="3.28515625" style="54" customWidth="1"/>
    <col min="2060" max="2060" width="4.42578125" style="54" customWidth="1"/>
    <col min="2061" max="2302" width="9.140625" style="54" customWidth="1"/>
    <col min="2303" max="2303" width="3.7109375" style="54" customWidth="1"/>
    <col min="2304" max="2304" width="2.140625" style="54"/>
    <col min="2305" max="2305" width="4" style="54" customWidth="1"/>
    <col min="2306" max="2306" width="11.42578125" style="54" customWidth="1"/>
    <col min="2307" max="2309" width="10.7109375" style="54" customWidth="1"/>
    <col min="2310" max="2310" width="13.85546875" style="54" customWidth="1"/>
    <col min="2311" max="2311" width="15.42578125" style="54" customWidth="1"/>
    <col min="2312" max="2312" width="12.5703125" style="54" customWidth="1"/>
    <col min="2313" max="2313" width="12.140625" style="54" customWidth="1"/>
    <col min="2314" max="2314" width="9.7109375" style="54" customWidth="1"/>
    <col min="2315" max="2315" width="3.28515625" style="54" customWidth="1"/>
    <col min="2316" max="2316" width="4.42578125" style="54" customWidth="1"/>
    <col min="2317" max="2558" width="9.140625" style="54" customWidth="1"/>
    <col min="2559" max="2559" width="3.7109375" style="54" customWidth="1"/>
    <col min="2560" max="2560" width="2.140625" style="54"/>
    <col min="2561" max="2561" width="4" style="54" customWidth="1"/>
    <col min="2562" max="2562" width="11.42578125" style="54" customWidth="1"/>
    <col min="2563" max="2565" width="10.7109375" style="54" customWidth="1"/>
    <col min="2566" max="2566" width="13.85546875" style="54" customWidth="1"/>
    <col min="2567" max="2567" width="15.42578125" style="54" customWidth="1"/>
    <col min="2568" max="2568" width="12.5703125" style="54" customWidth="1"/>
    <col min="2569" max="2569" width="12.140625" style="54" customWidth="1"/>
    <col min="2570" max="2570" width="9.7109375" style="54" customWidth="1"/>
    <col min="2571" max="2571" width="3.28515625" style="54" customWidth="1"/>
    <col min="2572" max="2572" width="4.42578125" style="54" customWidth="1"/>
    <col min="2573" max="2814" width="9.140625" style="54" customWidth="1"/>
    <col min="2815" max="2815" width="3.7109375" style="54" customWidth="1"/>
    <col min="2816" max="2816" width="2.140625" style="54"/>
    <col min="2817" max="2817" width="4" style="54" customWidth="1"/>
    <col min="2818" max="2818" width="11.42578125" style="54" customWidth="1"/>
    <col min="2819" max="2821" width="10.7109375" style="54" customWidth="1"/>
    <col min="2822" max="2822" width="13.85546875" style="54" customWidth="1"/>
    <col min="2823" max="2823" width="15.42578125" style="54" customWidth="1"/>
    <col min="2824" max="2824" width="12.5703125" style="54" customWidth="1"/>
    <col min="2825" max="2825" width="12.140625" style="54" customWidth="1"/>
    <col min="2826" max="2826" width="9.7109375" style="54" customWidth="1"/>
    <col min="2827" max="2827" width="3.28515625" style="54" customWidth="1"/>
    <col min="2828" max="2828" width="4.42578125" style="54" customWidth="1"/>
    <col min="2829" max="3070" width="9.140625" style="54" customWidth="1"/>
    <col min="3071" max="3071" width="3.7109375" style="54" customWidth="1"/>
    <col min="3072" max="3072" width="2.140625" style="54"/>
    <col min="3073" max="3073" width="4" style="54" customWidth="1"/>
    <col min="3074" max="3074" width="11.42578125" style="54" customWidth="1"/>
    <col min="3075" max="3077" width="10.7109375" style="54" customWidth="1"/>
    <col min="3078" max="3078" width="13.85546875" style="54" customWidth="1"/>
    <col min="3079" max="3079" width="15.42578125" style="54" customWidth="1"/>
    <col min="3080" max="3080" width="12.5703125" style="54" customWidth="1"/>
    <col min="3081" max="3081" width="12.140625" style="54" customWidth="1"/>
    <col min="3082" max="3082" width="9.7109375" style="54" customWidth="1"/>
    <col min="3083" max="3083" width="3.28515625" style="54" customWidth="1"/>
    <col min="3084" max="3084" width="4.42578125" style="54" customWidth="1"/>
    <col min="3085" max="3326" width="9.140625" style="54" customWidth="1"/>
    <col min="3327" max="3327" width="3.7109375" style="54" customWidth="1"/>
    <col min="3328" max="3328" width="2.140625" style="54"/>
    <col min="3329" max="3329" width="4" style="54" customWidth="1"/>
    <col min="3330" max="3330" width="11.42578125" style="54" customWidth="1"/>
    <col min="3331" max="3333" width="10.7109375" style="54" customWidth="1"/>
    <col min="3334" max="3334" width="13.85546875" style="54" customWidth="1"/>
    <col min="3335" max="3335" width="15.42578125" style="54" customWidth="1"/>
    <col min="3336" max="3336" width="12.5703125" style="54" customWidth="1"/>
    <col min="3337" max="3337" width="12.140625" style="54" customWidth="1"/>
    <col min="3338" max="3338" width="9.7109375" style="54" customWidth="1"/>
    <col min="3339" max="3339" width="3.28515625" style="54" customWidth="1"/>
    <col min="3340" max="3340" width="4.42578125" style="54" customWidth="1"/>
    <col min="3341" max="3582" width="9.140625" style="54" customWidth="1"/>
    <col min="3583" max="3583" width="3.7109375" style="54" customWidth="1"/>
    <col min="3584" max="3584" width="2.140625" style="54"/>
    <col min="3585" max="3585" width="4" style="54" customWidth="1"/>
    <col min="3586" max="3586" width="11.42578125" style="54" customWidth="1"/>
    <col min="3587" max="3589" width="10.7109375" style="54" customWidth="1"/>
    <col min="3590" max="3590" width="13.85546875" style="54" customWidth="1"/>
    <col min="3591" max="3591" width="15.42578125" style="54" customWidth="1"/>
    <col min="3592" max="3592" width="12.5703125" style="54" customWidth="1"/>
    <col min="3593" max="3593" width="12.140625" style="54" customWidth="1"/>
    <col min="3594" max="3594" width="9.7109375" style="54" customWidth="1"/>
    <col min="3595" max="3595" width="3.28515625" style="54" customWidth="1"/>
    <col min="3596" max="3596" width="4.42578125" style="54" customWidth="1"/>
    <col min="3597" max="3838" width="9.140625" style="54" customWidth="1"/>
    <col min="3839" max="3839" width="3.7109375" style="54" customWidth="1"/>
    <col min="3840" max="3840" width="2.140625" style="54"/>
    <col min="3841" max="3841" width="4" style="54" customWidth="1"/>
    <col min="3842" max="3842" width="11.42578125" style="54" customWidth="1"/>
    <col min="3843" max="3845" width="10.7109375" style="54" customWidth="1"/>
    <col min="3846" max="3846" width="13.85546875" style="54" customWidth="1"/>
    <col min="3847" max="3847" width="15.42578125" style="54" customWidth="1"/>
    <col min="3848" max="3848" width="12.5703125" style="54" customWidth="1"/>
    <col min="3849" max="3849" width="12.140625" style="54" customWidth="1"/>
    <col min="3850" max="3850" width="9.7109375" style="54" customWidth="1"/>
    <col min="3851" max="3851" width="3.28515625" style="54" customWidth="1"/>
    <col min="3852" max="3852" width="4.42578125" style="54" customWidth="1"/>
    <col min="3853" max="4094" width="9.140625" style="54" customWidth="1"/>
    <col min="4095" max="4095" width="3.7109375" style="54" customWidth="1"/>
    <col min="4096" max="4096" width="2.140625" style="54"/>
    <col min="4097" max="4097" width="4" style="54" customWidth="1"/>
    <col min="4098" max="4098" width="11.42578125" style="54" customWidth="1"/>
    <col min="4099" max="4101" width="10.7109375" style="54" customWidth="1"/>
    <col min="4102" max="4102" width="13.85546875" style="54" customWidth="1"/>
    <col min="4103" max="4103" width="15.42578125" style="54" customWidth="1"/>
    <col min="4104" max="4104" width="12.5703125" style="54" customWidth="1"/>
    <col min="4105" max="4105" width="12.140625" style="54" customWidth="1"/>
    <col min="4106" max="4106" width="9.7109375" style="54" customWidth="1"/>
    <col min="4107" max="4107" width="3.28515625" style="54" customWidth="1"/>
    <col min="4108" max="4108" width="4.42578125" style="54" customWidth="1"/>
    <col min="4109" max="4350" width="9.140625" style="54" customWidth="1"/>
    <col min="4351" max="4351" width="3.7109375" style="54" customWidth="1"/>
    <col min="4352" max="4352" width="2.140625" style="54"/>
    <col min="4353" max="4353" width="4" style="54" customWidth="1"/>
    <col min="4354" max="4354" width="11.42578125" style="54" customWidth="1"/>
    <col min="4355" max="4357" width="10.7109375" style="54" customWidth="1"/>
    <col min="4358" max="4358" width="13.85546875" style="54" customWidth="1"/>
    <col min="4359" max="4359" width="15.42578125" style="54" customWidth="1"/>
    <col min="4360" max="4360" width="12.5703125" style="54" customWidth="1"/>
    <col min="4361" max="4361" width="12.140625" style="54" customWidth="1"/>
    <col min="4362" max="4362" width="9.7109375" style="54" customWidth="1"/>
    <col min="4363" max="4363" width="3.28515625" style="54" customWidth="1"/>
    <col min="4364" max="4364" width="4.42578125" style="54" customWidth="1"/>
    <col min="4365" max="4606" width="9.140625" style="54" customWidth="1"/>
    <col min="4607" max="4607" width="3.7109375" style="54" customWidth="1"/>
    <col min="4608" max="4608" width="2.140625" style="54"/>
    <col min="4609" max="4609" width="4" style="54" customWidth="1"/>
    <col min="4610" max="4610" width="11.42578125" style="54" customWidth="1"/>
    <col min="4611" max="4613" width="10.7109375" style="54" customWidth="1"/>
    <col min="4614" max="4614" width="13.85546875" style="54" customWidth="1"/>
    <col min="4615" max="4615" width="15.42578125" style="54" customWidth="1"/>
    <col min="4616" max="4616" width="12.5703125" style="54" customWidth="1"/>
    <col min="4617" max="4617" width="12.140625" style="54" customWidth="1"/>
    <col min="4618" max="4618" width="9.7109375" style="54" customWidth="1"/>
    <col min="4619" max="4619" width="3.28515625" style="54" customWidth="1"/>
    <col min="4620" max="4620" width="4.42578125" style="54" customWidth="1"/>
    <col min="4621" max="4862" width="9.140625" style="54" customWidth="1"/>
    <col min="4863" max="4863" width="3.7109375" style="54" customWidth="1"/>
    <col min="4864" max="4864" width="2.140625" style="54"/>
    <col min="4865" max="4865" width="4" style="54" customWidth="1"/>
    <col min="4866" max="4866" width="11.42578125" style="54" customWidth="1"/>
    <col min="4867" max="4869" width="10.7109375" style="54" customWidth="1"/>
    <col min="4870" max="4870" width="13.85546875" style="54" customWidth="1"/>
    <col min="4871" max="4871" width="15.42578125" style="54" customWidth="1"/>
    <col min="4872" max="4872" width="12.5703125" style="54" customWidth="1"/>
    <col min="4873" max="4873" width="12.140625" style="54" customWidth="1"/>
    <col min="4874" max="4874" width="9.7109375" style="54" customWidth="1"/>
    <col min="4875" max="4875" width="3.28515625" style="54" customWidth="1"/>
    <col min="4876" max="4876" width="4.42578125" style="54" customWidth="1"/>
    <col min="4877" max="5118" width="9.140625" style="54" customWidth="1"/>
    <col min="5119" max="5119" width="3.7109375" style="54" customWidth="1"/>
    <col min="5120" max="5120" width="2.140625" style="54"/>
    <col min="5121" max="5121" width="4" style="54" customWidth="1"/>
    <col min="5122" max="5122" width="11.42578125" style="54" customWidth="1"/>
    <col min="5123" max="5125" width="10.7109375" style="54" customWidth="1"/>
    <col min="5126" max="5126" width="13.85546875" style="54" customWidth="1"/>
    <col min="5127" max="5127" width="15.42578125" style="54" customWidth="1"/>
    <col min="5128" max="5128" width="12.5703125" style="54" customWidth="1"/>
    <col min="5129" max="5129" width="12.140625" style="54" customWidth="1"/>
    <col min="5130" max="5130" width="9.7109375" style="54" customWidth="1"/>
    <col min="5131" max="5131" width="3.28515625" style="54" customWidth="1"/>
    <col min="5132" max="5132" width="4.42578125" style="54" customWidth="1"/>
    <col min="5133" max="5374" width="9.140625" style="54" customWidth="1"/>
    <col min="5375" max="5375" width="3.7109375" style="54" customWidth="1"/>
    <col min="5376" max="5376" width="2.140625" style="54"/>
    <col min="5377" max="5377" width="4" style="54" customWidth="1"/>
    <col min="5378" max="5378" width="11.42578125" style="54" customWidth="1"/>
    <col min="5379" max="5381" width="10.7109375" style="54" customWidth="1"/>
    <col min="5382" max="5382" width="13.85546875" style="54" customWidth="1"/>
    <col min="5383" max="5383" width="15.42578125" style="54" customWidth="1"/>
    <col min="5384" max="5384" width="12.5703125" style="54" customWidth="1"/>
    <col min="5385" max="5385" width="12.140625" style="54" customWidth="1"/>
    <col min="5386" max="5386" width="9.7109375" style="54" customWidth="1"/>
    <col min="5387" max="5387" width="3.28515625" style="54" customWidth="1"/>
    <col min="5388" max="5388" width="4.42578125" style="54" customWidth="1"/>
    <col min="5389" max="5630" width="9.140625" style="54" customWidth="1"/>
    <col min="5631" max="5631" width="3.7109375" style="54" customWidth="1"/>
    <col min="5632" max="5632" width="2.140625" style="54"/>
    <col min="5633" max="5633" width="4" style="54" customWidth="1"/>
    <col min="5634" max="5634" width="11.42578125" style="54" customWidth="1"/>
    <col min="5635" max="5637" width="10.7109375" style="54" customWidth="1"/>
    <col min="5638" max="5638" width="13.85546875" style="54" customWidth="1"/>
    <col min="5639" max="5639" width="15.42578125" style="54" customWidth="1"/>
    <col min="5640" max="5640" width="12.5703125" style="54" customWidth="1"/>
    <col min="5641" max="5641" width="12.140625" style="54" customWidth="1"/>
    <col min="5642" max="5642" width="9.7109375" style="54" customWidth="1"/>
    <col min="5643" max="5643" width="3.28515625" style="54" customWidth="1"/>
    <col min="5644" max="5644" width="4.42578125" style="54" customWidth="1"/>
    <col min="5645" max="5886" width="9.140625" style="54" customWidth="1"/>
    <col min="5887" max="5887" width="3.7109375" style="54" customWidth="1"/>
    <col min="5888" max="5888" width="2.140625" style="54"/>
    <col min="5889" max="5889" width="4" style="54" customWidth="1"/>
    <col min="5890" max="5890" width="11.42578125" style="54" customWidth="1"/>
    <col min="5891" max="5893" width="10.7109375" style="54" customWidth="1"/>
    <col min="5894" max="5894" width="13.85546875" style="54" customWidth="1"/>
    <col min="5895" max="5895" width="15.42578125" style="54" customWidth="1"/>
    <col min="5896" max="5896" width="12.5703125" style="54" customWidth="1"/>
    <col min="5897" max="5897" width="12.140625" style="54" customWidth="1"/>
    <col min="5898" max="5898" width="9.7109375" style="54" customWidth="1"/>
    <col min="5899" max="5899" width="3.28515625" style="54" customWidth="1"/>
    <col min="5900" max="5900" width="4.42578125" style="54" customWidth="1"/>
    <col min="5901" max="6142" width="9.140625" style="54" customWidth="1"/>
    <col min="6143" max="6143" width="3.7109375" style="54" customWidth="1"/>
    <col min="6144" max="6144" width="2.140625" style="54"/>
    <col min="6145" max="6145" width="4" style="54" customWidth="1"/>
    <col min="6146" max="6146" width="11.42578125" style="54" customWidth="1"/>
    <col min="6147" max="6149" width="10.7109375" style="54" customWidth="1"/>
    <col min="6150" max="6150" width="13.85546875" style="54" customWidth="1"/>
    <col min="6151" max="6151" width="15.42578125" style="54" customWidth="1"/>
    <col min="6152" max="6152" width="12.5703125" style="54" customWidth="1"/>
    <col min="6153" max="6153" width="12.140625" style="54" customWidth="1"/>
    <col min="6154" max="6154" width="9.7109375" style="54" customWidth="1"/>
    <col min="6155" max="6155" width="3.28515625" style="54" customWidth="1"/>
    <col min="6156" max="6156" width="4.42578125" style="54" customWidth="1"/>
    <col min="6157" max="6398" width="9.140625" style="54" customWidth="1"/>
    <col min="6399" max="6399" width="3.7109375" style="54" customWidth="1"/>
    <col min="6400" max="6400" width="2.140625" style="54"/>
    <col min="6401" max="6401" width="4" style="54" customWidth="1"/>
    <col min="6402" max="6402" width="11.42578125" style="54" customWidth="1"/>
    <col min="6403" max="6405" width="10.7109375" style="54" customWidth="1"/>
    <col min="6406" max="6406" width="13.85546875" style="54" customWidth="1"/>
    <col min="6407" max="6407" width="15.42578125" style="54" customWidth="1"/>
    <col min="6408" max="6408" width="12.5703125" style="54" customWidth="1"/>
    <col min="6409" max="6409" width="12.140625" style="54" customWidth="1"/>
    <col min="6410" max="6410" width="9.7109375" style="54" customWidth="1"/>
    <col min="6411" max="6411" width="3.28515625" style="54" customWidth="1"/>
    <col min="6412" max="6412" width="4.42578125" style="54" customWidth="1"/>
    <col min="6413" max="6654" width="9.140625" style="54" customWidth="1"/>
    <col min="6655" max="6655" width="3.7109375" style="54" customWidth="1"/>
    <col min="6656" max="6656" width="2.140625" style="54"/>
    <col min="6657" max="6657" width="4" style="54" customWidth="1"/>
    <col min="6658" max="6658" width="11.42578125" style="54" customWidth="1"/>
    <col min="6659" max="6661" width="10.7109375" style="54" customWidth="1"/>
    <col min="6662" max="6662" width="13.85546875" style="54" customWidth="1"/>
    <col min="6663" max="6663" width="15.42578125" style="54" customWidth="1"/>
    <col min="6664" max="6664" width="12.5703125" style="54" customWidth="1"/>
    <col min="6665" max="6665" width="12.140625" style="54" customWidth="1"/>
    <col min="6666" max="6666" width="9.7109375" style="54" customWidth="1"/>
    <col min="6667" max="6667" width="3.28515625" style="54" customWidth="1"/>
    <col min="6668" max="6668" width="4.42578125" style="54" customWidth="1"/>
    <col min="6669" max="6910" width="9.140625" style="54" customWidth="1"/>
    <col min="6911" max="6911" width="3.7109375" style="54" customWidth="1"/>
    <col min="6912" max="6912" width="2.140625" style="54"/>
    <col min="6913" max="6913" width="4" style="54" customWidth="1"/>
    <col min="6914" max="6914" width="11.42578125" style="54" customWidth="1"/>
    <col min="6915" max="6917" width="10.7109375" style="54" customWidth="1"/>
    <col min="6918" max="6918" width="13.85546875" style="54" customWidth="1"/>
    <col min="6919" max="6919" width="15.42578125" style="54" customWidth="1"/>
    <col min="6920" max="6920" width="12.5703125" style="54" customWidth="1"/>
    <col min="6921" max="6921" width="12.140625" style="54" customWidth="1"/>
    <col min="6922" max="6922" width="9.7109375" style="54" customWidth="1"/>
    <col min="6923" max="6923" width="3.28515625" style="54" customWidth="1"/>
    <col min="6924" max="6924" width="4.42578125" style="54" customWidth="1"/>
    <col min="6925" max="7166" width="9.140625" style="54" customWidth="1"/>
    <col min="7167" max="7167" width="3.7109375" style="54" customWidth="1"/>
    <col min="7168" max="7168" width="2.140625" style="54"/>
    <col min="7169" max="7169" width="4" style="54" customWidth="1"/>
    <col min="7170" max="7170" width="11.42578125" style="54" customWidth="1"/>
    <col min="7171" max="7173" width="10.7109375" style="54" customWidth="1"/>
    <col min="7174" max="7174" width="13.85546875" style="54" customWidth="1"/>
    <col min="7175" max="7175" width="15.42578125" style="54" customWidth="1"/>
    <col min="7176" max="7176" width="12.5703125" style="54" customWidth="1"/>
    <col min="7177" max="7177" width="12.140625" style="54" customWidth="1"/>
    <col min="7178" max="7178" width="9.7109375" style="54" customWidth="1"/>
    <col min="7179" max="7179" width="3.28515625" style="54" customWidth="1"/>
    <col min="7180" max="7180" width="4.42578125" style="54" customWidth="1"/>
    <col min="7181" max="7422" width="9.140625" style="54" customWidth="1"/>
    <col min="7423" max="7423" width="3.7109375" style="54" customWidth="1"/>
    <col min="7424" max="7424" width="2.140625" style="54"/>
    <col min="7425" max="7425" width="4" style="54" customWidth="1"/>
    <col min="7426" max="7426" width="11.42578125" style="54" customWidth="1"/>
    <col min="7427" max="7429" width="10.7109375" style="54" customWidth="1"/>
    <col min="7430" max="7430" width="13.85546875" style="54" customWidth="1"/>
    <col min="7431" max="7431" width="15.42578125" style="54" customWidth="1"/>
    <col min="7432" max="7432" width="12.5703125" style="54" customWidth="1"/>
    <col min="7433" max="7433" width="12.140625" style="54" customWidth="1"/>
    <col min="7434" max="7434" width="9.7109375" style="54" customWidth="1"/>
    <col min="7435" max="7435" width="3.28515625" style="54" customWidth="1"/>
    <col min="7436" max="7436" width="4.42578125" style="54" customWidth="1"/>
    <col min="7437" max="7678" width="9.140625" style="54" customWidth="1"/>
    <col min="7679" max="7679" width="3.7109375" style="54" customWidth="1"/>
    <col min="7680" max="7680" width="2.140625" style="54"/>
    <col min="7681" max="7681" width="4" style="54" customWidth="1"/>
    <col min="7682" max="7682" width="11.42578125" style="54" customWidth="1"/>
    <col min="7683" max="7685" width="10.7109375" style="54" customWidth="1"/>
    <col min="7686" max="7686" width="13.85546875" style="54" customWidth="1"/>
    <col min="7687" max="7687" width="15.42578125" style="54" customWidth="1"/>
    <col min="7688" max="7688" width="12.5703125" style="54" customWidth="1"/>
    <col min="7689" max="7689" width="12.140625" style="54" customWidth="1"/>
    <col min="7690" max="7690" width="9.7109375" style="54" customWidth="1"/>
    <col min="7691" max="7691" width="3.28515625" style="54" customWidth="1"/>
    <col min="7692" max="7692" width="4.42578125" style="54" customWidth="1"/>
    <col min="7693" max="7934" width="9.140625" style="54" customWidth="1"/>
    <col min="7935" max="7935" width="3.7109375" style="54" customWidth="1"/>
    <col min="7936" max="7936" width="2.140625" style="54"/>
    <col min="7937" max="7937" width="4" style="54" customWidth="1"/>
    <col min="7938" max="7938" width="11.42578125" style="54" customWidth="1"/>
    <col min="7939" max="7941" width="10.7109375" style="54" customWidth="1"/>
    <col min="7942" max="7942" width="13.85546875" style="54" customWidth="1"/>
    <col min="7943" max="7943" width="15.42578125" style="54" customWidth="1"/>
    <col min="7944" max="7944" width="12.5703125" style="54" customWidth="1"/>
    <col min="7945" max="7945" width="12.140625" style="54" customWidth="1"/>
    <col min="7946" max="7946" width="9.7109375" style="54" customWidth="1"/>
    <col min="7947" max="7947" width="3.28515625" style="54" customWidth="1"/>
    <col min="7948" max="7948" width="4.42578125" style="54" customWidth="1"/>
    <col min="7949" max="8190" width="9.140625" style="54" customWidth="1"/>
    <col min="8191" max="8191" width="3.7109375" style="54" customWidth="1"/>
    <col min="8192" max="8192" width="2.140625" style="54"/>
    <col min="8193" max="8193" width="4" style="54" customWidth="1"/>
    <col min="8194" max="8194" width="11.42578125" style="54" customWidth="1"/>
    <col min="8195" max="8197" width="10.7109375" style="54" customWidth="1"/>
    <col min="8198" max="8198" width="13.85546875" style="54" customWidth="1"/>
    <col min="8199" max="8199" width="15.42578125" style="54" customWidth="1"/>
    <col min="8200" max="8200" width="12.5703125" style="54" customWidth="1"/>
    <col min="8201" max="8201" width="12.140625" style="54" customWidth="1"/>
    <col min="8202" max="8202" width="9.7109375" style="54" customWidth="1"/>
    <col min="8203" max="8203" width="3.28515625" style="54" customWidth="1"/>
    <col min="8204" max="8204" width="4.42578125" style="54" customWidth="1"/>
    <col min="8205" max="8446" width="9.140625" style="54" customWidth="1"/>
    <col min="8447" max="8447" width="3.7109375" style="54" customWidth="1"/>
    <col min="8448" max="8448" width="2.140625" style="54"/>
    <col min="8449" max="8449" width="4" style="54" customWidth="1"/>
    <col min="8450" max="8450" width="11.42578125" style="54" customWidth="1"/>
    <col min="8451" max="8453" width="10.7109375" style="54" customWidth="1"/>
    <col min="8454" max="8454" width="13.85546875" style="54" customWidth="1"/>
    <col min="8455" max="8455" width="15.42578125" style="54" customWidth="1"/>
    <col min="8456" max="8456" width="12.5703125" style="54" customWidth="1"/>
    <col min="8457" max="8457" width="12.140625" style="54" customWidth="1"/>
    <col min="8458" max="8458" width="9.7109375" style="54" customWidth="1"/>
    <col min="8459" max="8459" width="3.28515625" style="54" customWidth="1"/>
    <col min="8460" max="8460" width="4.42578125" style="54" customWidth="1"/>
    <col min="8461" max="8702" width="9.140625" style="54" customWidth="1"/>
    <col min="8703" max="8703" width="3.7109375" style="54" customWidth="1"/>
    <col min="8704" max="8704" width="2.140625" style="54"/>
    <col min="8705" max="8705" width="4" style="54" customWidth="1"/>
    <col min="8706" max="8706" width="11.42578125" style="54" customWidth="1"/>
    <col min="8707" max="8709" width="10.7109375" style="54" customWidth="1"/>
    <col min="8710" max="8710" width="13.85546875" style="54" customWidth="1"/>
    <col min="8711" max="8711" width="15.42578125" style="54" customWidth="1"/>
    <col min="8712" max="8712" width="12.5703125" style="54" customWidth="1"/>
    <col min="8713" max="8713" width="12.140625" style="54" customWidth="1"/>
    <col min="8714" max="8714" width="9.7109375" style="54" customWidth="1"/>
    <col min="8715" max="8715" width="3.28515625" style="54" customWidth="1"/>
    <col min="8716" max="8716" width="4.42578125" style="54" customWidth="1"/>
    <col min="8717" max="8958" width="9.140625" style="54" customWidth="1"/>
    <col min="8959" max="8959" width="3.7109375" style="54" customWidth="1"/>
    <col min="8960" max="8960" width="2.140625" style="54"/>
    <col min="8961" max="8961" width="4" style="54" customWidth="1"/>
    <col min="8962" max="8962" width="11.42578125" style="54" customWidth="1"/>
    <col min="8963" max="8965" width="10.7109375" style="54" customWidth="1"/>
    <col min="8966" max="8966" width="13.85546875" style="54" customWidth="1"/>
    <col min="8967" max="8967" width="15.42578125" style="54" customWidth="1"/>
    <col min="8968" max="8968" width="12.5703125" style="54" customWidth="1"/>
    <col min="8969" max="8969" width="12.140625" style="54" customWidth="1"/>
    <col min="8970" max="8970" width="9.7109375" style="54" customWidth="1"/>
    <col min="8971" max="8971" width="3.28515625" style="54" customWidth="1"/>
    <col min="8972" max="8972" width="4.42578125" style="54" customWidth="1"/>
    <col min="8973" max="9214" width="9.140625" style="54" customWidth="1"/>
    <col min="9215" max="9215" width="3.7109375" style="54" customWidth="1"/>
    <col min="9216" max="9216" width="2.140625" style="54"/>
    <col min="9217" max="9217" width="4" style="54" customWidth="1"/>
    <col min="9218" max="9218" width="11.42578125" style="54" customWidth="1"/>
    <col min="9219" max="9221" width="10.7109375" style="54" customWidth="1"/>
    <col min="9222" max="9222" width="13.85546875" style="54" customWidth="1"/>
    <col min="9223" max="9223" width="15.42578125" style="54" customWidth="1"/>
    <col min="9224" max="9224" width="12.5703125" style="54" customWidth="1"/>
    <col min="9225" max="9225" width="12.140625" style="54" customWidth="1"/>
    <col min="9226" max="9226" width="9.7109375" style="54" customWidth="1"/>
    <col min="9227" max="9227" width="3.28515625" style="54" customWidth="1"/>
    <col min="9228" max="9228" width="4.42578125" style="54" customWidth="1"/>
    <col min="9229" max="9470" width="9.140625" style="54" customWidth="1"/>
    <col min="9471" max="9471" width="3.7109375" style="54" customWidth="1"/>
    <col min="9472" max="9472" width="2.140625" style="54"/>
    <col min="9473" max="9473" width="4" style="54" customWidth="1"/>
    <col min="9474" max="9474" width="11.42578125" style="54" customWidth="1"/>
    <col min="9475" max="9477" width="10.7109375" style="54" customWidth="1"/>
    <col min="9478" max="9478" width="13.85546875" style="54" customWidth="1"/>
    <col min="9479" max="9479" width="15.42578125" style="54" customWidth="1"/>
    <col min="9480" max="9480" width="12.5703125" style="54" customWidth="1"/>
    <col min="9481" max="9481" width="12.140625" style="54" customWidth="1"/>
    <col min="9482" max="9482" width="9.7109375" style="54" customWidth="1"/>
    <col min="9483" max="9483" width="3.28515625" style="54" customWidth="1"/>
    <col min="9484" max="9484" width="4.42578125" style="54" customWidth="1"/>
    <col min="9485" max="9726" width="9.140625" style="54" customWidth="1"/>
    <col min="9727" max="9727" width="3.7109375" style="54" customWidth="1"/>
    <col min="9728" max="9728" width="2.140625" style="54"/>
    <col min="9729" max="9729" width="4" style="54" customWidth="1"/>
    <col min="9730" max="9730" width="11.42578125" style="54" customWidth="1"/>
    <col min="9731" max="9733" width="10.7109375" style="54" customWidth="1"/>
    <col min="9734" max="9734" width="13.85546875" style="54" customWidth="1"/>
    <col min="9735" max="9735" width="15.42578125" style="54" customWidth="1"/>
    <col min="9736" max="9736" width="12.5703125" style="54" customWidth="1"/>
    <col min="9737" max="9737" width="12.140625" style="54" customWidth="1"/>
    <col min="9738" max="9738" width="9.7109375" style="54" customWidth="1"/>
    <col min="9739" max="9739" width="3.28515625" style="54" customWidth="1"/>
    <col min="9740" max="9740" width="4.42578125" style="54" customWidth="1"/>
    <col min="9741" max="9982" width="9.140625" style="54" customWidth="1"/>
    <col min="9983" max="9983" width="3.7109375" style="54" customWidth="1"/>
    <col min="9984" max="9984" width="2.140625" style="54"/>
    <col min="9985" max="9985" width="4" style="54" customWidth="1"/>
    <col min="9986" max="9986" width="11.42578125" style="54" customWidth="1"/>
    <col min="9987" max="9989" width="10.7109375" style="54" customWidth="1"/>
    <col min="9990" max="9990" width="13.85546875" style="54" customWidth="1"/>
    <col min="9991" max="9991" width="15.42578125" style="54" customWidth="1"/>
    <col min="9992" max="9992" width="12.5703125" style="54" customWidth="1"/>
    <col min="9993" max="9993" width="12.140625" style="54" customWidth="1"/>
    <col min="9994" max="9994" width="9.7109375" style="54" customWidth="1"/>
    <col min="9995" max="9995" width="3.28515625" style="54" customWidth="1"/>
    <col min="9996" max="9996" width="4.42578125" style="54" customWidth="1"/>
    <col min="9997" max="10238" width="9.140625" style="54" customWidth="1"/>
    <col min="10239" max="10239" width="3.7109375" style="54" customWidth="1"/>
    <col min="10240" max="10240" width="2.140625" style="54"/>
    <col min="10241" max="10241" width="4" style="54" customWidth="1"/>
    <col min="10242" max="10242" width="11.42578125" style="54" customWidth="1"/>
    <col min="10243" max="10245" width="10.7109375" style="54" customWidth="1"/>
    <col min="10246" max="10246" width="13.85546875" style="54" customWidth="1"/>
    <col min="10247" max="10247" width="15.42578125" style="54" customWidth="1"/>
    <col min="10248" max="10248" width="12.5703125" style="54" customWidth="1"/>
    <col min="10249" max="10249" width="12.140625" style="54" customWidth="1"/>
    <col min="10250" max="10250" width="9.7109375" style="54" customWidth="1"/>
    <col min="10251" max="10251" width="3.28515625" style="54" customWidth="1"/>
    <col min="10252" max="10252" width="4.42578125" style="54" customWidth="1"/>
    <col min="10253" max="10494" width="9.140625" style="54" customWidth="1"/>
    <col min="10495" max="10495" width="3.7109375" style="54" customWidth="1"/>
    <col min="10496" max="10496" width="2.140625" style="54"/>
    <col min="10497" max="10497" width="4" style="54" customWidth="1"/>
    <col min="10498" max="10498" width="11.42578125" style="54" customWidth="1"/>
    <col min="10499" max="10501" width="10.7109375" style="54" customWidth="1"/>
    <col min="10502" max="10502" width="13.85546875" style="54" customWidth="1"/>
    <col min="10503" max="10503" width="15.42578125" style="54" customWidth="1"/>
    <col min="10504" max="10504" width="12.5703125" style="54" customWidth="1"/>
    <col min="10505" max="10505" width="12.140625" style="54" customWidth="1"/>
    <col min="10506" max="10506" width="9.7109375" style="54" customWidth="1"/>
    <col min="10507" max="10507" width="3.28515625" style="54" customWidth="1"/>
    <col min="10508" max="10508" width="4.42578125" style="54" customWidth="1"/>
    <col min="10509" max="10750" width="9.140625" style="54" customWidth="1"/>
    <col min="10751" max="10751" width="3.7109375" style="54" customWidth="1"/>
    <col min="10752" max="10752" width="2.140625" style="54"/>
    <col min="10753" max="10753" width="4" style="54" customWidth="1"/>
    <col min="10754" max="10754" width="11.42578125" style="54" customWidth="1"/>
    <col min="10755" max="10757" width="10.7109375" style="54" customWidth="1"/>
    <col min="10758" max="10758" width="13.85546875" style="54" customWidth="1"/>
    <col min="10759" max="10759" width="15.42578125" style="54" customWidth="1"/>
    <col min="10760" max="10760" width="12.5703125" style="54" customWidth="1"/>
    <col min="10761" max="10761" width="12.140625" style="54" customWidth="1"/>
    <col min="10762" max="10762" width="9.7109375" style="54" customWidth="1"/>
    <col min="10763" max="10763" width="3.28515625" style="54" customWidth="1"/>
    <col min="10764" max="10764" width="4.42578125" style="54" customWidth="1"/>
    <col min="10765" max="11006" width="9.140625" style="54" customWidth="1"/>
    <col min="11007" max="11007" width="3.7109375" style="54" customWidth="1"/>
    <col min="11008" max="11008" width="2.140625" style="54"/>
    <col min="11009" max="11009" width="4" style="54" customWidth="1"/>
    <col min="11010" max="11010" width="11.42578125" style="54" customWidth="1"/>
    <col min="11011" max="11013" width="10.7109375" style="54" customWidth="1"/>
    <col min="11014" max="11014" width="13.85546875" style="54" customWidth="1"/>
    <col min="11015" max="11015" width="15.42578125" style="54" customWidth="1"/>
    <col min="11016" max="11016" width="12.5703125" style="54" customWidth="1"/>
    <col min="11017" max="11017" width="12.140625" style="54" customWidth="1"/>
    <col min="11018" max="11018" width="9.7109375" style="54" customWidth="1"/>
    <col min="11019" max="11019" width="3.28515625" style="54" customWidth="1"/>
    <col min="11020" max="11020" width="4.42578125" style="54" customWidth="1"/>
    <col min="11021" max="11262" width="9.140625" style="54" customWidth="1"/>
    <col min="11263" max="11263" width="3.7109375" style="54" customWidth="1"/>
    <col min="11264" max="11264" width="2.140625" style="54"/>
    <col min="11265" max="11265" width="4" style="54" customWidth="1"/>
    <col min="11266" max="11266" width="11.42578125" style="54" customWidth="1"/>
    <col min="11267" max="11269" width="10.7109375" style="54" customWidth="1"/>
    <col min="11270" max="11270" width="13.85546875" style="54" customWidth="1"/>
    <col min="11271" max="11271" width="15.42578125" style="54" customWidth="1"/>
    <col min="11272" max="11272" width="12.5703125" style="54" customWidth="1"/>
    <col min="11273" max="11273" width="12.140625" style="54" customWidth="1"/>
    <col min="11274" max="11274" width="9.7109375" style="54" customWidth="1"/>
    <col min="11275" max="11275" width="3.28515625" style="54" customWidth="1"/>
    <col min="11276" max="11276" width="4.42578125" style="54" customWidth="1"/>
    <col min="11277" max="11518" width="9.140625" style="54" customWidth="1"/>
    <col min="11519" max="11519" width="3.7109375" style="54" customWidth="1"/>
    <col min="11520" max="11520" width="2.140625" style="54"/>
    <col min="11521" max="11521" width="4" style="54" customWidth="1"/>
    <col min="11522" max="11522" width="11.42578125" style="54" customWidth="1"/>
    <col min="11523" max="11525" width="10.7109375" style="54" customWidth="1"/>
    <col min="11526" max="11526" width="13.85546875" style="54" customWidth="1"/>
    <col min="11527" max="11527" width="15.42578125" style="54" customWidth="1"/>
    <col min="11528" max="11528" width="12.5703125" style="54" customWidth="1"/>
    <col min="11529" max="11529" width="12.140625" style="54" customWidth="1"/>
    <col min="11530" max="11530" width="9.7109375" style="54" customWidth="1"/>
    <col min="11531" max="11531" width="3.28515625" style="54" customWidth="1"/>
    <col min="11532" max="11532" width="4.42578125" style="54" customWidth="1"/>
    <col min="11533" max="11774" width="9.140625" style="54" customWidth="1"/>
    <col min="11775" max="11775" width="3.7109375" style="54" customWidth="1"/>
    <col min="11776" max="11776" width="2.140625" style="54"/>
    <col min="11777" max="11777" width="4" style="54" customWidth="1"/>
    <col min="11778" max="11778" width="11.42578125" style="54" customWidth="1"/>
    <col min="11779" max="11781" width="10.7109375" style="54" customWidth="1"/>
    <col min="11782" max="11782" width="13.85546875" style="54" customWidth="1"/>
    <col min="11783" max="11783" width="15.42578125" style="54" customWidth="1"/>
    <col min="11784" max="11784" width="12.5703125" style="54" customWidth="1"/>
    <col min="11785" max="11785" width="12.140625" style="54" customWidth="1"/>
    <col min="11786" max="11786" width="9.7109375" style="54" customWidth="1"/>
    <col min="11787" max="11787" width="3.28515625" style="54" customWidth="1"/>
    <col min="11788" max="11788" width="4.42578125" style="54" customWidth="1"/>
    <col min="11789" max="12030" width="9.140625" style="54" customWidth="1"/>
    <col min="12031" max="12031" width="3.7109375" style="54" customWidth="1"/>
    <col min="12032" max="12032" width="2.140625" style="54"/>
    <col min="12033" max="12033" width="4" style="54" customWidth="1"/>
    <col min="12034" max="12034" width="11.42578125" style="54" customWidth="1"/>
    <col min="12035" max="12037" width="10.7109375" style="54" customWidth="1"/>
    <col min="12038" max="12038" width="13.85546875" style="54" customWidth="1"/>
    <col min="12039" max="12039" width="15.42578125" style="54" customWidth="1"/>
    <col min="12040" max="12040" width="12.5703125" style="54" customWidth="1"/>
    <col min="12041" max="12041" width="12.140625" style="54" customWidth="1"/>
    <col min="12042" max="12042" width="9.7109375" style="54" customWidth="1"/>
    <col min="12043" max="12043" width="3.28515625" style="54" customWidth="1"/>
    <col min="12044" max="12044" width="4.42578125" style="54" customWidth="1"/>
    <col min="12045" max="12286" width="9.140625" style="54" customWidth="1"/>
    <col min="12287" max="12287" width="3.7109375" style="54" customWidth="1"/>
    <col min="12288" max="12288" width="2.140625" style="54"/>
    <col min="12289" max="12289" width="4" style="54" customWidth="1"/>
    <col min="12290" max="12290" width="11.42578125" style="54" customWidth="1"/>
    <col min="12291" max="12293" width="10.7109375" style="54" customWidth="1"/>
    <col min="12294" max="12294" width="13.85546875" style="54" customWidth="1"/>
    <col min="12295" max="12295" width="15.42578125" style="54" customWidth="1"/>
    <col min="12296" max="12296" width="12.5703125" style="54" customWidth="1"/>
    <col min="12297" max="12297" width="12.140625" style="54" customWidth="1"/>
    <col min="12298" max="12298" width="9.7109375" style="54" customWidth="1"/>
    <col min="12299" max="12299" width="3.28515625" style="54" customWidth="1"/>
    <col min="12300" max="12300" width="4.42578125" style="54" customWidth="1"/>
    <col min="12301" max="12542" width="9.140625" style="54" customWidth="1"/>
    <col min="12543" max="12543" width="3.7109375" style="54" customWidth="1"/>
    <col min="12544" max="12544" width="2.140625" style="54"/>
    <col min="12545" max="12545" width="4" style="54" customWidth="1"/>
    <col min="12546" max="12546" width="11.42578125" style="54" customWidth="1"/>
    <col min="12547" max="12549" width="10.7109375" style="54" customWidth="1"/>
    <col min="12550" max="12550" width="13.85546875" style="54" customWidth="1"/>
    <col min="12551" max="12551" width="15.42578125" style="54" customWidth="1"/>
    <col min="12552" max="12552" width="12.5703125" style="54" customWidth="1"/>
    <col min="12553" max="12553" width="12.140625" style="54" customWidth="1"/>
    <col min="12554" max="12554" width="9.7109375" style="54" customWidth="1"/>
    <col min="12555" max="12555" width="3.28515625" style="54" customWidth="1"/>
    <col min="12556" max="12556" width="4.42578125" style="54" customWidth="1"/>
    <col min="12557" max="12798" width="9.140625" style="54" customWidth="1"/>
    <col min="12799" max="12799" width="3.7109375" style="54" customWidth="1"/>
    <col min="12800" max="12800" width="2.140625" style="54"/>
    <col min="12801" max="12801" width="4" style="54" customWidth="1"/>
    <col min="12802" max="12802" width="11.42578125" style="54" customWidth="1"/>
    <col min="12803" max="12805" width="10.7109375" style="54" customWidth="1"/>
    <col min="12806" max="12806" width="13.85546875" style="54" customWidth="1"/>
    <col min="12807" max="12807" width="15.42578125" style="54" customWidth="1"/>
    <col min="12808" max="12808" width="12.5703125" style="54" customWidth="1"/>
    <col min="12809" max="12809" width="12.140625" style="54" customWidth="1"/>
    <col min="12810" max="12810" width="9.7109375" style="54" customWidth="1"/>
    <col min="12811" max="12811" width="3.28515625" style="54" customWidth="1"/>
    <col min="12812" max="12812" width="4.42578125" style="54" customWidth="1"/>
    <col min="12813" max="13054" width="9.140625" style="54" customWidth="1"/>
    <col min="13055" max="13055" width="3.7109375" style="54" customWidth="1"/>
    <col min="13056" max="13056" width="2.140625" style="54"/>
    <col min="13057" max="13057" width="4" style="54" customWidth="1"/>
    <col min="13058" max="13058" width="11.42578125" style="54" customWidth="1"/>
    <col min="13059" max="13061" width="10.7109375" style="54" customWidth="1"/>
    <col min="13062" max="13062" width="13.85546875" style="54" customWidth="1"/>
    <col min="13063" max="13063" width="15.42578125" style="54" customWidth="1"/>
    <col min="13064" max="13064" width="12.5703125" style="54" customWidth="1"/>
    <col min="13065" max="13065" width="12.140625" style="54" customWidth="1"/>
    <col min="13066" max="13066" width="9.7109375" style="54" customWidth="1"/>
    <col min="13067" max="13067" width="3.28515625" style="54" customWidth="1"/>
    <col min="13068" max="13068" width="4.42578125" style="54" customWidth="1"/>
    <col min="13069" max="13310" width="9.140625" style="54" customWidth="1"/>
    <col min="13311" max="13311" width="3.7109375" style="54" customWidth="1"/>
    <col min="13312" max="13312" width="2.140625" style="54"/>
    <col min="13313" max="13313" width="4" style="54" customWidth="1"/>
    <col min="13314" max="13314" width="11.42578125" style="54" customWidth="1"/>
    <col min="13315" max="13317" width="10.7109375" style="54" customWidth="1"/>
    <col min="13318" max="13318" width="13.85546875" style="54" customWidth="1"/>
    <col min="13319" max="13319" width="15.42578125" style="54" customWidth="1"/>
    <col min="13320" max="13320" width="12.5703125" style="54" customWidth="1"/>
    <col min="13321" max="13321" width="12.140625" style="54" customWidth="1"/>
    <col min="13322" max="13322" width="9.7109375" style="54" customWidth="1"/>
    <col min="13323" max="13323" width="3.28515625" style="54" customWidth="1"/>
    <col min="13324" max="13324" width="4.42578125" style="54" customWidth="1"/>
    <col min="13325" max="13566" width="9.140625" style="54" customWidth="1"/>
    <col min="13567" max="13567" width="3.7109375" style="54" customWidth="1"/>
    <col min="13568" max="13568" width="2.140625" style="54"/>
    <col min="13569" max="13569" width="4" style="54" customWidth="1"/>
    <col min="13570" max="13570" width="11.42578125" style="54" customWidth="1"/>
    <col min="13571" max="13573" width="10.7109375" style="54" customWidth="1"/>
    <col min="13574" max="13574" width="13.85546875" style="54" customWidth="1"/>
    <col min="13575" max="13575" width="15.42578125" style="54" customWidth="1"/>
    <col min="13576" max="13576" width="12.5703125" style="54" customWidth="1"/>
    <col min="13577" max="13577" width="12.140625" style="54" customWidth="1"/>
    <col min="13578" max="13578" width="9.7109375" style="54" customWidth="1"/>
    <col min="13579" max="13579" width="3.28515625" style="54" customWidth="1"/>
    <col min="13580" max="13580" width="4.42578125" style="54" customWidth="1"/>
    <col min="13581" max="13822" width="9.140625" style="54" customWidth="1"/>
    <col min="13823" max="13823" width="3.7109375" style="54" customWidth="1"/>
    <col min="13824" max="13824" width="2.140625" style="54"/>
    <col min="13825" max="13825" width="4" style="54" customWidth="1"/>
    <col min="13826" max="13826" width="11.42578125" style="54" customWidth="1"/>
    <col min="13827" max="13829" width="10.7109375" style="54" customWidth="1"/>
    <col min="13830" max="13830" width="13.85546875" style="54" customWidth="1"/>
    <col min="13831" max="13831" width="15.42578125" style="54" customWidth="1"/>
    <col min="13832" max="13832" width="12.5703125" style="54" customWidth="1"/>
    <col min="13833" max="13833" width="12.140625" style="54" customWidth="1"/>
    <col min="13834" max="13834" width="9.7109375" style="54" customWidth="1"/>
    <col min="13835" max="13835" width="3.28515625" style="54" customWidth="1"/>
    <col min="13836" max="13836" width="4.42578125" style="54" customWidth="1"/>
    <col min="13837" max="14078" width="9.140625" style="54" customWidth="1"/>
    <col min="14079" max="14079" width="3.7109375" style="54" customWidth="1"/>
    <col min="14080" max="14080" width="2.140625" style="54"/>
    <col min="14081" max="14081" width="4" style="54" customWidth="1"/>
    <col min="14082" max="14082" width="11.42578125" style="54" customWidth="1"/>
    <col min="14083" max="14085" width="10.7109375" style="54" customWidth="1"/>
    <col min="14086" max="14086" width="13.85546875" style="54" customWidth="1"/>
    <col min="14087" max="14087" width="15.42578125" style="54" customWidth="1"/>
    <col min="14088" max="14088" width="12.5703125" style="54" customWidth="1"/>
    <col min="14089" max="14089" width="12.140625" style="54" customWidth="1"/>
    <col min="14090" max="14090" width="9.7109375" style="54" customWidth="1"/>
    <col min="14091" max="14091" width="3.28515625" style="54" customWidth="1"/>
    <col min="14092" max="14092" width="4.42578125" style="54" customWidth="1"/>
    <col min="14093" max="14334" width="9.140625" style="54" customWidth="1"/>
    <col min="14335" max="14335" width="3.7109375" style="54" customWidth="1"/>
    <col min="14336" max="14336" width="2.140625" style="54"/>
    <col min="14337" max="14337" width="4" style="54" customWidth="1"/>
    <col min="14338" max="14338" width="11.42578125" style="54" customWidth="1"/>
    <col min="14339" max="14341" width="10.7109375" style="54" customWidth="1"/>
    <col min="14342" max="14342" width="13.85546875" style="54" customWidth="1"/>
    <col min="14343" max="14343" width="15.42578125" style="54" customWidth="1"/>
    <col min="14344" max="14344" width="12.5703125" style="54" customWidth="1"/>
    <col min="14345" max="14345" width="12.140625" style="54" customWidth="1"/>
    <col min="14346" max="14346" width="9.7109375" style="54" customWidth="1"/>
    <col min="14347" max="14347" width="3.28515625" style="54" customWidth="1"/>
    <col min="14348" max="14348" width="4.42578125" style="54" customWidth="1"/>
    <col min="14349" max="14590" width="9.140625" style="54" customWidth="1"/>
    <col min="14591" max="14591" width="3.7109375" style="54" customWidth="1"/>
    <col min="14592" max="14592" width="2.140625" style="54"/>
    <col min="14593" max="14593" width="4" style="54" customWidth="1"/>
    <col min="14594" max="14594" width="11.42578125" style="54" customWidth="1"/>
    <col min="14595" max="14597" width="10.7109375" style="54" customWidth="1"/>
    <col min="14598" max="14598" width="13.85546875" style="54" customWidth="1"/>
    <col min="14599" max="14599" width="15.42578125" style="54" customWidth="1"/>
    <col min="14600" max="14600" width="12.5703125" style="54" customWidth="1"/>
    <col min="14601" max="14601" width="12.140625" style="54" customWidth="1"/>
    <col min="14602" max="14602" width="9.7109375" style="54" customWidth="1"/>
    <col min="14603" max="14603" width="3.28515625" style="54" customWidth="1"/>
    <col min="14604" max="14604" width="4.42578125" style="54" customWidth="1"/>
    <col min="14605" max="14846" width="9.140625" style="54" customWidth="1"/>
    <col min="14847" max="14847" width="3.7109375" style="54" customWidth="1"/>
    <col min="14848" max="14848" width="2.140625" style="54"/>
    <col min="14849" max="14849" width="4" style="54" customWidth="1"/>
    <col min="14850" max="14850" width="11.42578125" style="54" customWidth="1"/>
    <col min="14851" max="14853" width="10.7109375" style="54" customWidth="1"/>
    <col min="14854" max="14854" width="13.85546875" style="54" customWidth="1"/>
    <col min="14855" max="14855" width="15.42578125" style="54" customWidth="1"/>
    <col min="14856" max="14856" width="12.5703125" style="54" customWidth="1"/>
    <col min="14857" max="14857" width="12.140625" style="54" customWidth="1"/>
    <col min="14858" max="14858" width="9.7109375" style="54" customWidth="1"/>
    <col min="14859" max="14859" width="3.28515625" style="54" customWidth="1"/>
    <col min="14860" max="14860" width="4.42578125" style="54" customWidth="1"/>
    <col min="14861" max="15102" width="9.140625" style="54" customWidth="1"/>
    <col min="15103" max="15103" width="3.7109375" style="54" customWidth="1"/>
    <col min="15104" max="15104" width="2.140625" style="54"/>
    <col min="15105" max="15105" width="4" style="54" customWidth="1"/>
    <col min="15106" max="15106" width="11.42578125" style="54" customWidth="1"/>
    <col min="15107" max="15109" width="10.7109375" style="54" customWidth="1"/>
    <col min="15110" max="15110" width="13.85546875" style="54" customWidth="1"/>
    <col min="15111" max="15111" width="15.42578125" style="54" customWidth="1"/>
    <col min="15112" max="15112" width="12.5703125" style="54" customWidth="1"/>
    <col min="15113" max="15113" width="12.140625" style="54" customWidth="1"/>
    <col min="15114" max="15114" width="9.7109375" style="54" customWidth="1"/>
    <col min="15115" max="15115" width="3.28515625" style="54" customWidth="1"/>
    <col min="15116" max="15116" width="4.42578125" style="54" customWidth="1"/>
    <col min="15117" max="15358" width="9.140625" style="54" customWidth="1"/>
    <col min="15359" max="15359" width="3.7109375" style="54" customWidth="1"/>
    <col min="15360" max="15360" width="2.140625" style="54"/>
    <col min="15361" max="15361" width="4" style="54" customWidth="1"/>
    <col min="15362" max="15362" width="11.42578125" style="54" customWidth="1"/>
    <col min="15363" max="15365" width="10.7109375" style="54" customWidth="1"/>
    <col min="15366" max="15366" width="13.85546875" style="54" customWidth="1"/>
    <col min="15367" max="15367" width="15.42578125" style="54" customWidth="1"/>
    <col min="15368" max="15368" width="12.5703125" style="54" customWidth="1"/>
    <col min="15369" max="15369" width="12.140625" style="54" customWidth="1"/>
    <col min="15370" max="15370" width="9.7109375" style="54" customWidth="1"/>
    <col min="15371" max="15371" width="3.28515625" style="54" customWidth="1"/>
    <col min="15372" max="15372" width="4.42578125" style="54" customWidth="1"/>
    <col min="15373" max="15614" width="9.140625" style="54" customWidth="1"/>
    <col min="15615" max="15615" width="3.7109375" style="54" customWidth="1"/>
    <col min="15616" max="15616" width="2.140625" style="54"/>
    <col min="15617" max="15617" width="4" style="54" customWidth="1"/>
    <col min="15618" max="15618" width="11.42578125" style="54" customWidth="1"/>
    <col min="15619" max="15621" width="10.7109375" style="54" customWidth="1"/>
    <col min="15622" max="15622" width="13.85546875" style="54" customWidth="1"/>
    <col min="15623" max="15623" width="15.42578125" style="54" customWidth="1"/>
    <col min="15624" max="15624" width="12.5703125" style="54" customWidth="1"/>
    <col min="15625" max="15625" width="12.140625" style="54" customWidth="1"/>
    <col min="15626" max="15626" width="9.7109375" style="54" customWidth="1"/>
    <col min="15627" max="15627" width="3.28515625" style="54" customWidth="1"/>
    <col min="15628" max="15628" width="4.42578125" style="54" customWidth="1"/>
    <col min="15629" max="15870" width="9.140625" style="54" customWidth="1"/>
    <col min="15871" max="15871" width="3.7109375" style="54" customWidth="1"/>
    <col min="15872" max="15872" width="2.140625" style="54"/>
    <col min="15873" max="15873" width="4" style="54" customWidth="1"/>
    <col min="15874" max="15874" width="11.42578125" style="54" customWidth="1"/>
    <col min="15875" max="15877" width="10.7109375" style="54" customWidth="1"/>
    <col min="15878" max="15878" width="13.85546875" style="54" customWidth="1"/>
    <col min="15879" max="15879" width="15.42578125" style="54" customWidth="1"/>
    <col min="15880" max="15880" width="12.5703125" style="54" customWidth="1"/>
    <col min="15881" max="15881" width="12.140625" style="54" customWidth="1"/>
    <col min="15882" max="15882" width="9.7109375" style="54" customWidth="1"/>
    <col min="15883" max="15883" width="3.28515625" style="54" customWidth="1"/>
    <col min="15884" max="15884" width="4.42578125" style="54" customWidth="1"/>
    <col min="15885" max="16126" width="9.140625" style="54" customWidth="1"/>
    <col min="16127" max="16127" width="3.7109375" style="54" customWidth="1"/>
    <col min="16128" max="16128" width="2.140625" style="54"/>
    <col min="16129" max="16129" width="4" style="54" customWidth="1"/>
    <col min="16130" max="16130" width="11.42578125" style="54" customWidth="1"/>
    <col min="16131" max="16133" width="10.7109375" style="54" customWidth="1"/>
    <col min="16134" max="16134" width="13.85546875" style="54" customWidth="1"/>
    <col min="16135" max="16135" width="15.42578125" style="54" customWidth="1"/>
    <col min="16136" max="16136" width="12.5703125" style="54" customWidth="1"/>
    <col min="16137" max="16137" width="12.140625" style="54" customWidth="1"/>
    <col min="16138" max="16138" width="9.7109375" style="54" customWidth="1"/>
    <col min="16139" max="16139" width="3.28515625" style="54" customWidth="1"/>
    <col min="16140" max="16140" width="4.42578125" style="54" customWidth="1"/>
    <col min="16141" max="16382" width="9.140625" style="54" customWidth="1"/>
    <col min="16383" max="16383" width="3.7109375" style="54" customWidth="1"/>
    <col min="16384" max="16384" width="2.140625" style="54"/>
  </cols>
  <sheetData>
    <row r="2" spans="2:12" ht="14.25" thickBot="1"/>
    <row r="3" spans="2:12" ht="15.75" thickTop="1">
      <c r="B3" s="95"/>
      <c r="C3" s="96" t="s">
        <v>193</v>
      </c>
      <c r="D3" s="97"/>
      <c r="E3" s="96"/>
      <c r="F3" s="96"/>
      <c r="G3" s="98"/>
      <c r="H3" s="55"/>
      <c r="I3" s="55"/>
      <c r="J3" s="56"/>
    </row>
    <row r="4" spans="2:12" ht="15">
      <c r="B4" s="99"/>
      <c r="C4" s="100" t="s">
        <v>3</v>
      </c>
      <c r="D4" s="101" t="s">
        <v>194</v>
      </c>
      <c r="E4" s="100"/>
      <c r="F4" s="102"/>
      <c r="G4" s="103"/>
      <c r="H4" s="55"/>
      <c r="I4" s="55"/>
    </row>
    <row r="5" spans="2:12" ht="15.75" thickBot="1">
      <c r="B5" s="104"/>
      <c r="C5" s="105" t="s">
        <v>48</v>
      </c>
      <c r="D5" s="106" t="s">
        <v>194</v>
      </c>
      <c r="E5" s="105"/>
      <c r="F5" s="107"/>
      <c r="G5" s="108"/>
      <c r="H5" s="55"/>
      <c r="I5" s="55"/>
    </row>
    <row r="6" spans="2:12" ht="14.25" thickTop="1"/>
    <row r="7" spans="2:12" ht="18.75">
      <c r="B7" s="304" t="s">
        <v>195</v>
      </c>
      <c r="C7" s="304"/>
      <c r="D7" s="304"/>
      <c r="E7" s="304"/>
      <c r="F7" s="304"/>
      <c r="G7" s="304"/>
      <c r="H7" s="304"/>
      <c r="I7" s="304"/>
      <c r="J7" s="304"/>
      <c r="K7" s="57"/>
      <c r="L7" s="57"/>
    </row>
    <row r="8" spans="2:12" ht="15.75" thickBot="1">
      <c r="G8" s="58"/>
      <c r="H8" s="58"/>
    </row>
    <row r="9" spans="2:12" ht="15" customHeight="1">
      <c r="B9" s="59" t="s">
        <v>196</v>
      </c>
      <c r="C9" s="60" t="s">
        <v>248</v>
      </c>
      <c r="D9" s="61"/>
      <c r="E9" s="61"/>
      <c r="F9" s="62"/>
      <c r="G9" s="63" t="s">
        <v>197</v>
      </c>
      <c r="H9" s="305" t="s">
        <v>198</v>
      </c>
      <c r="I9" s="305"/>
      <c r="J9" s="306"/>
    </row>
    <row r="10" spans="2:12" ht="15" customHeight="1">
      <c r="B10" s="64" t="s">
        <v>199</v>
      </c>
      <c r="C10" s="65" t="s">
        <v>360</v>
      </c>
      <c r="D10" s="66"/>
      <c r="E10" s="66"/>
      <c r="F10" s="67"/>
      <c r="G10" s="68" t="s">
        <v>200</v>
      </c>
      <c r="H10" s="302" t="s">
        <v>198</v>
      </c>
      <c r="I10" s="302"/>
      <c r="J10" s="303" t="s">
        <v>201</v>
      </c>
    </row>
    <row r="11" spans="2:12" ht="15" customHeight="1">
      <c r="B11" s="64" t="s">
        <v>202</v>
      </c>
      <c r="C11" s="65" t="s">
        <v>203</v>
      </c>
      <c r="D11" s="70"/>
      <c r="E11" s="70"/>
      <c r="F11" s="71"/>
      <c r="G11" s="68" t="s">
        <v>204</v>
      </c>
      <c r="H11" s="65" t="s">
        <v>198</v>
      </c>
      <c r="I11" s="65"/>
      <c r="J11" s="69"/>
    </row>
    <row r="12" spans="2:12" ht="15" customHeight="1">
      <c r="B12" s="64" t="s">
        <v>205</v>
      </c>
      <c r="C12" s="65" t="s">
        <v>361</v>
      </c>
      <c r="D12" s="66"/>
      <c r="E12" s="66"/>
      <c r="F12" s="67"/>
      <c r="G12" s="68" t="s">
        <v>206</v>
      </c>
      <c r="H12" s="302" t="s">
        <v>383</v>
      </c>
      <c r="I12" s="302"/>
      <c r="J12" s="303" t="s">
        <v>201</v>
      </c>
    </row>
    <row r="13" spans="2:12" ht="15" customHeight="1">
      <c r="B13" s="64" t="s">
        <v>207</v>
      </c>
      <c r="C13" s="65" t="s">
        <v>362</v>
      </c>
      <c r="D13" s="66"/>
      <c r="E13" s="66"/>
      <c r="F13" s="67"/>
      <c r="G13" s="68" t="s">
        <v>209</v>
      </c>
      <c r="H13" s="302" t="s">
        <v>210</v>
      </c>
      <c r="I13" s="302"/>
      <c r="J13" s="303" t="s">
        <v>201</v>
      </c>
    </row>
    <row r="14" spans="2:12" ht="15" customHeight="1">
      <c r="B14" s="72" t="s">
        <v>16</v>
      </c>
      <c r="C14" s="73" t="s">
        <v>363</v>
      </c>
      <c r="D14" s="66"/>
      <c r="E14" s="66"/>
      <c r="F14" s="67"/>
      <c r="G14" s="68" t="s">
        <v>211</v>
      </c>
      <c r="H14" s="302" t="s">
        <v>212</v>
      </c>
      <c r="I14" s="302"/>
      <c r="J14" s="303" t="s">
        <v>201</v>
      </c>
    </row>
    <row r="15" spans="2:12" ht="15" customHeight="1" thickBot="1">
      <c r="B15" s="74"/>
      <c r="C15" s="75"/>
      <c r="D15" s="307"/>
      <c r="E15" s="307"/>
      <c r="F15" s="308"/>
      <c r="G15" s="76" t="s">
        <v>213</v>
      </c>
      <c r="H15" s="309" t="s">
        <v>364</v>
      </c>
      <c r="I15" s="309"/>
      <c r="J15" s="310" t="s">
        <v>201</v>
      </c>
    </row>
    <row r="17" spans="2:10" ht="15.75" thickBot="1">
      <c r="B17" s="77" t="s">
        <v>214</v>
      </c>
      <c r="H17" s="77"/>
    </row>
    <row r="18" spans="2:10" ht="42" customHeight="1">
      <c r="B18" s="81" t="s">
        <v>215</v>
      </c>
      <c r="C18" s="311" t="s">
        <v>216</v>
      </c>
      <c r="D18" s="311"/>
      <c r="E18" s="311" t="s">
        <v>217</v>
      </c>
      <c r="F18" s="311"/>
      <c r="G18" s="311" t="s">
        <v>218</v>
      </c>
      <c r="H18" s="311"/>
      <c r="I18" s="311" t="s">
        <v>219</v>
      </c>
      <c r="J18" s="312"/>
    </row>
    <row r="19" spans="2:10" ht="12.75" customHeight="1">
      <c r="B19" s="314">
        <v>1</v>
      </c>
      <c r="C19" s="315">
        <v>1.2</v>
      </c>
      <c r="D19" s="315"/>
      <c r="E19" s="315" t="s">
        <v>220</v>
      </c>
      <c r="F19" s="315"/>
      <c r="G19" s="316" t="s">
        <v>221</v>
      </c>
      <c r="H19" s="316"/>
      <c r="I19" s="317">
        <v>1.129</v>
      </c>
      <c r="J19" s="318"/>
    </row>
    <row r="20" spans="2:10">
      <c r="B20" s="314"/>
      <c r="C20" s="315"/>
      <c r="D20" s="315"/>
      <c r="E20" s="315"/>
      <c r="F20" s="315"/>
      <c r="G20" s="316"/>
      <c r="H20" s="316"/>
      <c r="I20" s="317"/>
      <c r="J20" s="318"/>
    </row>
    <row r="21" spans="2:10" ht="12.75" customHeight="1">
      <c r="B21" s="314">
        <v>2</v>
      </c>
      <c r="C21" s="315">
        <v>1.2</v>
      </c>
      <c r="D21" s="315"/>
      <c r="E21" s="315" t="s">
        <v>222</v>
      </c>
      <c r="F21" s="315"/>
      <c r="G21" s="316" t="s">
        <v>223</v>
      </c>
      <c r="H21" s="316"/>
      <c r="I21" s="317">
        <v>1.129</v>
      </c>
      <c r="J21" s="318"/>
    </row>
    <row r="22" spans="2:10">
      <c r="B22" s="314"/>
      <c r="C22" s="315"/>
      <c r="D22" s="315"/>
      <c r="E22" s="315"/>
      <c r="F22" s="315"/>
      <c r="G22" s="316"/>
      <c r="H22" s="316"/>
      <c r="I22" s="317"/>
      <c r="J22" s="318"/>
    </row>
    <row r="23" spans="2:10" ht="12.75" customHeight="1">
      <c r="B23" s="314">
        <v>3</v>
      </c>
      <c r="C23" s="315">
        <v>1.2</v>
      </c>
      <c r="D23" s="315"/>
      <c r="E23" s="315" t="s">
        <v>224</v>
      </c>
      <c r="F23" s="315"/>
      <c r="G23" s="316" t="s">
        <v>225</v>
      </c>
      <c r="H23" s="316"/>
      <c r="I23" s="317">
        <v>1.129</v>
      </c>
      <c r="J23" s="318"/>
    </row>
    <row r="24" spans="2:10" ht="14.25" thickBot="1">
      <c r="B24" s="319"/>
      <c r="C24" s="320"/>
      <c r="D24" s="320"/>
      <c r="E24" s="320"/>
      <c r="F24" s="320"/>
      <c r="G24" s="321"/>
      <c r="H24" s="321"/>
      <c r="I24" s="322"/>
      <c r="J24" s="323"/>
    </row>
    <row r="25" spans="2:10" ht="20.25" customHeight="1" thickBot="1">
      <c r="B25" s="77" t="s">
        <v>226</v>
      </c>
      <c r="D25" s="78"/>
      <c r="E25" s="78"/>
    </row>
    <row r="26" spans="2:10" ht="42" customHeight="1">
      <c r="B26" s="81" t="s">
        <v>215</v>
      </c>
      <c r="C26" s="335" t="s">
        <v>69</v>
      </c>
      <c r="D26" s="336"/>
      <c r="E26" s="335" t="s">
        <v>217</v>
      </c>
      <c r="F26" s="336"/>
      <c r="G26" s="335" t="s">
        <v>227</v>
      </c>
      <c r="H26" s="337"/>
      <c r="I26" s="313"/>
      <c r="J26" s="313"/>
    </row>
    <row r="27" spans="2:10" ht="12.75" customHeight="1">
      <c r="B27" s="325">
        <v>1</v>
      </c>
      <c r="C27" s="327">
        <v>0</v>
      </c>
      <c r="D27" s="328"/>
      <c r="E27" s="327" t="s">
        <v>220</v>
      </c>
      <c r="F27" s="328"/>
      <c r="G27" s="331">
        <v>2.3E-2</v>
      </c>
      <c r="H27" s="332"/>
      <c r="I27" s="324"/>
      <c r="J27" s="324"/>
    </row>
    <row r="28" spans="2:10">
      <c r="B28" s="326"/>
      <c r="C28" s="329"/>
      <c r="D28" s="330"/>
      <c r="E28" s="329"/>
      <c r="F28" s="330"/>
      <c r="G28" s="333"/>
      <c r="H28" s="334"/>
      <c r="I28" s="324"/>
      <c r="J28" s="324"/>
    </row>
    <row r="29" spans="2:10" ht="12.75" customHeight="1">
      <c r="B29" s="325">
        <v>2</v>
      </c>
      <c r="C29" s="327">
        <v>0</v>
      </c>
      <c r="D29" s="328"/>
      <c r="E29" s="327" t="s">
        <v>222</v>
      </c>
      <c r="F29" s="328"/>
      <c r="G29" s="331">
        <v>2.4E-2</v>
      </c>
      <c r="H29" s="332"/>
      <c r="I29" s="324"/>
      <c r="J29" s="324"/>
    </row>
    <row r="30" spans="2:10">
      <c r="B30" s="326"/>
      <c r="C30" s="329"/>
      <c r="D30" s="330"/>
      <c r="E30" s="329"/>
      <c r="F30" s="330"/>
      <c r="G30" s="333"/>
      <c r="H30" s="334"/>
      <c r="I30" s="324"/>
      <c r="J30" s="324"/>
    </row>
    <row r="31" spans="2:10" ht="12.75" customHeight="1">
      <c r="B31" s="325">
        <v>3</v>
      </c>
      <c r="C31" s="327">
        <v>0</v>
      </c>
      <c r="D31" s="328"/>
      <c r="E31" s="327" t="s">
        <v>224</v>
      </c>
      <c r="F31" s="328"/>
      <c r="G31" s="331">
        <v>2.5999999999999999E-2</v>
      </c>
      <c r="H31" s="332"/>
      <c r="I31" s="324"/>
      <c r="J31" s="324"/>
    </row>
    <row r="32" spans="2:10" ht="14.25" thickBot="1">
      <c r="B32" s="341"/>
      <c r="C32" s="342"/>
      <c r="D32" s="343"/>
      <c r="E32" s="342"/>
      <c r="F32" s="343"/>
      <c r="G32" s="344"/>
      <c r="H32" s="345"/>
      <c r="I32" s="324"/>
      <c r="J32" s="324"/>
    </row>
    <row r="33" spans="2:10" ht="20.25" customHeight="1" thickBot="1">
      <c r="B33" s="77" t="s">
        <v>228</v>
      </c>
      <c r="D33" s="78"/>
      <c r="E33" s="78"/>
    </row>
    <row r="34" spans="2:10" ht="12.75" customHeight="1">
      <c r="B34" s="338" t="s">
        <v>215</v>
      </c>
      <c r="C34" s="311" t="s">
        <v>229</v>
      </c>
      <c r="D34" s="311" t="s">
        <v>230</v>
      </c>
      <c r="E34" s="311" t="s">
        <v>231</v>
      </c>
      <c r="F34" s="311"/>
      <c r="G34" s="311" t="s">
        <v>232</v>
      </c>
      <c r="H34" s="311" t="s">
        <v>233</v>
      </c>
      <c r="I34" s="311"/>
      <c r="J34" s="346" t="s">
        <v>234</v>
      </c>
    </row>
    <row r="35" spans="2:10" ht="13.5" customHeight="1" thickBot="1">
      <c r="B35" s="339"/>
      <c r="C35" s="340"/>
      <c r="D35" s="340"/>
      <c r="E35" s="340"/>
      <c r="F35" s="340"/>
      <c r="G35" s="340"/>
      <c r="H35" s="340"/>
      <c r="I35" s="340"/>
      <c r="J35" s="347"/>
    </row>
    <row r="36" spans="2:10" ht="30" customHeight="1">
      <c r="B36" s="82">
        <v>1</v>
      </c>
      <c r="C36" s="83" t="s">
        <v>235</v>
      </c>
      <c r="D36" s="84" t="s">
        <v>77</v>
      </c>
      <c r="E36" s="348" t="s">
        <v>221</v>
      </c>
      <c r="F36" s="348"/>
      <c r="G36" s="84" t="s">
        <v>236</v>
      </c>
      <c r="H36" s="348" t="s">
        <v>237</v>
      </c>
      <c r="I36" s="348"/>
      <c r="J36" s="85"/>
    </row>
    <row r="37" spans="2:10" ht="30" customHeight="1">
      <c r="B37" s="86">
        <v>2</v>
      </c>
      <c r="C37" s="87" t="s">
        <v>235</v>
      </c>
      <c r="D37" s="88" t="s">
        <v>78</v>
      </c>
      <c r="E37" s="315" t="s">
        <v>223</v>
      </c>
      <c r="F37" s="315"/>
      <c r="G37" s="88" t="s">
        <v>238</v>
      </c>
      <c r="H37" s="315" t="s">
        <v>46</v>
      </c>
      <c r="I37" s="315"/>
      <c r="J37" s="89" t="s">
        <v>239</v>
      </c>
    </row>
    <row r="38" spans="2:10" ht="30" customHeight="1">
      <c r="B38" s="86">
        <v>3</v>
      </c>
      <c r="C38" s="87" t="s">
        <v>235</v>
      </c>
      <c r="D38" s="88" t="s">
        <v>79</v>
      </c>
      <c r="E38" s="315" t="s">
        <v>225</v>
      </c>
      <c r="F38" s="315"/>
      <c r="G38" s="88" t="s">
        <v>240</v>
      </c>
      <c r="H38" s="315" t="s">
        <v>46</v>
      </c>
      <c r="I38" s="315"/>
      <c r="J38" s="89" t="s">
        <v>239</v>
      </c>
    </row>
    <row r="39" spans="2:10" ht="30" customHeight="1">
      <c r="B39" s="86">
        <v>4</v>
      </c>
      <c r="C39" s="90" t="s">
        <v>241</v>
      </c>
      <c r="D39" s="88"/>
      <c r="E39" s="315"/>
      <c r="F39" s="315"/>
      <c r="G39" s="88"/>
      <c r="H39" s="315"/>
      <c r="I39" s="315"/>
      <c r="J39" s="89"/>
    </row>
    <row r="40" spans="2:10" ht="30" customHeight="1">
      <c r="B40" s="86">
        <v>5</v>
      </c>
      <c r="C40" s="90" t="s">
        <v>241</v>
      </c>
      <c r="D40" s="88"/>
      <c r="E40" s="315"/>
      <c r="F40" s="315"/>
      <c r="G40" s="88"/>
      <c r="H40" s="315"/>
      <c r="I40" s="315"/>
      <c r="J40" s="89"/>
    </row>
    <row r="41" spans="2:10" ht="30" customHeight="1" thickBot="1">
      <c r="B41" s="91">
        <v>6</v>
      </c>
      <c r="C41" s="92" t="s">
        <v>241</v>
      </c>
      <c r="D41" s="93"/>
      <c r="E41" s="320"/>
      <c r="F41" s="320"/>
      <c r="G41" s="93"/>
      <c r="H41" s="320"/>
      <c r="I41" s="320"/>
      <c r="J41" s="94"/>
    </row>
    <row r="42" spans="2:10" ht="14.25" thickBot="1">
      <c r="B42" s="79"/>
      <c r="C42" s="79"/>
      <c r="D42" s="79"/>
      <c r="E42" s="79"/>
      <c r="F42" s="79"/>
      <c r="G42" s="79"/>
      <c r="H42" s="79"/>
      <c r="I42" s="79"/>
      <c r="J42" s="79"/>
    </row>
    <row r="43" spans="2:10" ht="15.75" thickTop="1">
      <c r="B43" s="125" t="s">
        <v>242</v>
      </c>
      <c r="C43" s="126"/>
      <c r="D43" s="127"/>
      <c r="E43" s="126"/>
      <c r="F43" s="128"/>
      <c r="G43" s="128"/>
      <c r="H43" s="128"/>
      <c r="I43" s="128"/>
      <c r="J43" s="129"/>
    </row>
    <row r="44" spans="2:10" ht="15">
      <c r="B44" s="130" t="s">
        <v>243</v>
      </c>
      <c r="C44" s="131"/>
      <c r="D44" s="132"/>
      <c r="E44" s="131"/>
      <c r="F44" s="133"/>
      <c r="G44" s="133"/>
      <c r="H44" s="133"/>
      <c r="I44" s="133"/>
      <c r="J44" s="134"/>
    </row>
    <row r="45" spans="2:10" ht="15">
      <c r="B45" s="130"/>
      <c r="C45" s="131"/>
      <c r="D45" s="132"/>
      <c r="E45" s="131"/>
      <c r="F45" s="133"/>
      <c r="G45" s="133"/>
      <c r="H45" s="133"/>
      <c r="I45" s="133"/>
      <c r="J45" s="134"/>
    </row>
    <row r="46" spans="2:10" ht="15">
      <c r="B46" s="130"/>
      <c r="C46" s="131"/>
      <c r="D46" s="132"/>
      <c r="E46" s="131"/>
      <c r="F46" s="133"/>
      <c r="G46" s="133"/>
      <c r="H46" s="133"/>
      <c r="I46" s="133"/>
      <c r="J46" s="134"/>
    </row>
    <row r="47" spans="2:10" ht="15.75" thickBot="1">
      <c r="B47" s="135"/>
      <c r="C47" s="136"/>
      <c r="D47" s="137"/>
      <c r="E47" s="136"/>
      <c r="F47" s="138"/>
      <c r="G47" s="138"/>
      <c r="H47" s="138"/>
      <c r="I47" s="138"/>
      <c r="J47" s="139"/>
    </row>
    <row r="48" spans="2:10" ht="14.25" thickTop="1"/>
    <row r="49" spans="2:10" ht="14.25" thickBot="1">
      <c r="B49" s="79"/>
      <c r="C49" s="79"/>
      <c r="D49" s="79"/>
      <c r="E49" s="79"/>
      <c r="F49" s="79"/>
      <c r="G49" s="79"/>
      <c r="H49" s="79"/>
      <c r="I49" s="79"/>
      <c r="J49" s="79"/>
    </row>
    <row r="50" spans="2:10" ht="15">
      <c r="B50" s="109"/>
      <c r="C50" s="110"/>
      <c r="D50" s="110"/>
      <c r="E50" s="110"/>
      <c r="F50" s="111"/>
      <c r="G50" s="112"/>
      <c r="H50" s="110"/>
      <c r="I50" s="110"/>
      <c r="J50" s="113"/>
    </row>
    <row r="51" spans="2:10" ht="15">
      <c r="B51" s="352" t="s">
        <v>244</v>
      </c>
      <c r="C51" s="353"/>
      <c r="D51" s="353"/>
      <c r="E51" s="353"/>
      <c r="F51" s="114"/>
      <c r="G51" s="354" t="s">
        <v>245</v>
      </c>
      <c r="H51" s="355"/>
      <c r="I51" s="355"/>
      <c r="J51" s="356"/>
    </row>
    <row r="52" spans="2:10" ht="15">
      <c r="B52" s="115"/>
      <c r="C52" s="78"/>
      <c r="D52" s="116"/>
      <c r="E52" s="58"/>
      <c r="F52" s="117"/>
      <c r="G52" s="115"/>
      <c r="H52" s="78"/>
      <c r="I52" s="78"/>
      <c r="J52" s="117"/>
    </row>
    <row r="53" spans="2:10" ht="15">
      <c r="B53" s="118">
        <v>1</v>
      </c>
      <c r="C53" s="119" t="s">
        <v>342</v>
      </c>
      <c r="D53" s="116"/>
      <c r="E53" s="58"/>
      <c r="F53" s="117"/>
      <c r="G53" s="115"/>
      <c r="H53" s="78"/>
      <c r="I53" s="78"/>
      <c r="J53" s="117"/>
    </row>
    <row r="54" spans="2:10" ht="15">
      <c r="B54" s="120">
        <v>2</v>
      </c>
      <c r="C54" s="80" t="s">
        <v>21</v>
      </c>
      <c r="D54" s="116"/>
      <c r="E54" s="58"/>
      <c r="F54" s="117"/>
      <c r="G54" s="115"/>
      <c r="H54" s="78"/>
      <c r="I54" s="78"/>
      <c r="J54" s="117"/>
    </row>
    <row r="55" spans="2:10" ht="15">
      <c r="B55" s="120">
        <v>3</v>
      </c>
      <c r="C55" s="80" t="s">
        <v>246</v>
      </c>
      <c r="D55" s="116"/>
      <c r="E55" s="58"/>
      <c r="F55" s="117"/>
      <c r="G55" s="115"/>
      <c r="H55" s="78"/>
      <c r="I55" s="78"/>
      <c r="J55" s="117"/>
    </row>
    <row r="56" spans="2:10" ht="15">
      <c r="B56" s="120">
        <v>4</v>
      </c>
      <c r="C56" s="80"/>
      <c r="D56" s="116"/>
      <c r="E56" s="58"/>
      <c r="F56" s="117"/>
      <c r="G56" s="115"/>
      <c r="H56" s="78"/>
      <c r="I56" s="58"/>
      <c r="J56" s="117"/>
    </row>
    <row r="57" spans="2:10" ht="15">
      <c r="B57" s="120">
        <v>5</v>
      </c>
      <c r="C57" s="78"/>
      <c r="D57" s="78"/>
      <c r="E57" s="58"/>
      <c r="F57" s="117"/>
      <c r="G57" s="115"/>
      <c r="H57" s="78"/>
      <c r="I57" s="78"/>
      <c r="J57" s="117"/>
    </row>
    <row r="58" spans="2:10" ht="15">
      <c r="B58" s="120">
        <v>6</v>
      </c>
      <c r="C58" s="78"/>
      <c r="D58" s="116"/>
      <c r="E58" s="58"/>
      <c r="F58" s="117"/>
      <c r="G58" s="349" t="s">
        <v>341</v>
      </c>
      <c r="H58" s="350"/>
      <c r="I58" s="350"/>
      <c r="J58" s="351"/>
    </row>
    <row r="59" spans="2:10" ht="15.75" thickBot="1">
      <c r="B59" s="121"/>
      <c r="C59" s="122"/>
      <c r="D59" s="122"/>
      <c r="E59" s="122"/>
      <c r="F59" s="123"/>
      <c r="G59" s="124"/>
      <c r="H59" s="122"/>
      <c r="I59" s="122"/>
      <c r="J59" s="123"/>
    </row>
  </sheetData>
  <mergeCells count="68">
    <mergeCell ref="G58:J58"/>
    <mergeCell ref="E40:F40"/>
    <mergeCell ref="H40:I40"/>
    <mergeCell ref="E41:F41"/>
    <mergeCell ref="H41:I41"/>
    <mergeCell ref="B51:E51"/>
    <mergeCell ref="G51:J51"/>
    <mergeCell ref="E37:F37"/>
    <mergeCell ref="H37:I37"/>
    <mergeCell ref="E38:F38"/>
    <mergeCell ref="H38:I38"/>
    <mergeCell ref="E39:F39"/>
    <mergeCell ref="H39:I39"/>
    <mergeCell ref="I31:J32"/>
    <mergeCell ref="H34:I35"/>
    <mergeCell ref="J34:J35"/>
    <mergeCell ref="E36:F36"/>
    <mergeCell ref="H36:I36"/>
    <mergeCell ref="C26:D26"/>
    <mergeCell ref="E26:F26"/>
    <mergeCell ref="G26:H26"/>
    <mergeCell ref="B34:B35"/>
    <mergeCell ref="C34:C35"/>
    <mergeCell ref="D34:D35"/>
    <mergeCell ref="E34:F35"/>
    <mergeCell ref="G34:G35"/>
    <mergeCell ref="B31:B32"/>
    <mergeCell ref="C31:D32"/>
    <mergeCell ref="E31:F32"/>
    <mergeCell ref="G31:H32"/>
    <mergeCell ref="B27:B28"/>
    <mergeCell ref="C27:D28"/>
    <mergeCell ref="E27:F28"/>
    <mergeCell ref="G27:H28"/>
    <mergeCell ref="I27:J28"/>
    <mergeCell ref="B29:B30"/>
    <mergeCell ref="C29:D30"/>
    <mergeCell ref="E29:F30"/>
    <mergeCell ref="G29:H30"/>
    <mergeCell ref="I29:J30"/>
    <mergeCell ref="I26:J26"/>
    <mergeCell ref="B19:B20"/>
    <mergeCell ref="C19:D20"/>
    <mergeCell ref="E19:F20"/>
    <mergeCell ref="G19:H20"/>
    <mergeCell ref="I19:J20"/>
    <mergeCell ref="B21:B22"/>
    <mergeCell ref="C21:D22"/>
    <mergeCell ref="E21:F22"/>
    <mergeCell ref="G21:H22"/>
    <mergeCell ref="I21:J22"/>
    <mergeCell ref="B23:B24"/>
    <mergeCell ref="C23:D24"/>
    <mergeCell ref="E23:F24"/>
    <mergeCell ref="G23:H24"/>
    <mergeCell ref="I23:J24"/>
    <mergeCell ref="D15:F15"/>
    <mergeCell ref="H15:J15"/>
    <mergeCell ref="C18:D18"/>
    <mergeCell ref="E18:F18"/>
    <mergeCell ref="G18:H18"/>
    <mergeCell ref="I18:J18"/>
    <mergeCell ref="H14:J14"/>
    <mergeCell ref="B7:J7"/>
    <mergeCell ref="H9:J9"/>
    <mergeCell ref="H10:J10"/>
    <mergeCell ref="H12:J12"/>
    <mergeCell ref="H13:J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C94D-FF50-4863-A0EC-CE1D097CACA7}">
  <dimension ref="B2:L59"/>
  <sheetViews>
    <sheetView showGridLines="0" view="pageBreakPreview" zoomScale="90" zoomScaleNormal="100" zoomScaleSheetLayoutView="90" workbookViewId="0">
      <selection activeCell="G19" sqref="G19:H20"/>
    </sheetView>
  </sheetViews>
  <sheetFormatPr defaultColWidth="2.140625" defaultRowHeight="13.5"/>
  <cols>
    <col min="1" max="1" width="4" style="54" customWidth="1"/>
    <col min="2" max="2" width="11.42578125" style="54" customWidth="1"/>
    <col min="3" max="5" width="10.7109375" style="54" customWidth="1"/>
    <col min="6" max="6" width="13.85546875" style="54" customWidth="1"/>
    <col min="7" max="7" width="15.42578125" style="54" customWidth="1"/>
    <col min="8" max="8" width="12.5703125" style="54" customWidth="1"/>
    <col min="9" max="9" width="12.140625" style="54" customWidth="1"/>
    <col min="10" max="10" width="9.7109375" style="54" customWidth="1"/>
    <col min="11" max="11" width="3.28515625" style="54" customWidth="1"/>
    <col min="12" max="12" width="4.42578125" style="54" customWidth="1"/>
    <col min="13" max="254" width="9.140625" style="54" customWidth="1"/>
    <col min="255" max="255" width="3.7109375" style="54" customWidth="1"/>
    <col min="256" max="256" width="2.140625" style="54"/>
    <col min="257" max="257" width="4" style="54" customWidth="1"/>
    <col min="258" max="258" width="11.42578125" style="54" customWidth="1"/>
    <col min="259" max="261" width="10.7109375" style="54" customWidth="1"/>
    <col min="262" max="262" width="13.85546875" style="54" customWidth="1"/>
    <col min="263" max="263" width="15.42578125" style="54" customWidth="1"/>
    <col min="264" max="264" width="12.5703125" style="54" customWidth="1"/>
    <col min="265" max="265" width="12.140625" style="54" customWidth="1"/>
    <col min="266" max="266" width="9.7109375" style="54" customWidth="1"/>
    <col min="267" max="267" width="3.28515625" style="54" customWidth="1"/>
    <col min="268" max="268" width="4.42578125" style="54" customWidth="1"/>
    <col min="269" max="510" width="9.140625" style="54" customWidth="1"/>
    <col min="511" max="511" width="3.7109375" style="54" customWidth="1"/>
    <col min="512" max="512" width="2.140625" style="54"/>
    <col min="513" max="513" width="4" style="54" customWidth="1"/>
    <col min="514" max="514" width="11.42578125" style="54" customWidth="1"/>
    <col min="515" max="517" width="10.7109375" style="54" customWidth="1"/>
    <col min="518" max="518" width="13.85546875" style="54" customWidth="1"/>
    <col min="519" max="519" width="15.42578125" style="54" customWidth="1"/>
    <col min="520" max="520" width="12.5703125" style="54" customWidth="1"/>
    <col min="521" max="521" width="12.140625" style="54" customWidth="1"/>
    <col min="522" max="522" width="9.7109375" style="54" customWidth="1"/>
    <col min="523" max="523" width="3.28515625" style="54" customWidth="1"/>
    <col min="524" max="524" width="4.42578125" style="54" customWidth="1"/>
    <col min="525" max="766" width="9.140625" style="54" customWidth="1"/>
    <col min="767" max="767" width="3.7109375" style="54" customWidth="1"/>
    <col min="768" max="768" width="2.140625" style="54"/>
    <col min="769" max="769" width="4" style="54" customWidth="1"/>
    <col min="770" max="770" width="11.42578125" style="54" customWidth="1"/>
    <col min="771" max="773" width="10.7109375" style="54" customWidth="1"/>
    <col min="774" max="774" width="13.85546875" style="54" customWidth="1"/>
    <col min="775" max="775" width="15.42578125" style="54" customWidth="1"/>
    <col min="776" max="776" width="12.5703125" style="54" customWidth="1"/>
    <col min="777" max="777" width="12.140625" style="54" customWidth="1"/>
    <col min="778" max="778" width="9.7109375" style="54" customWidth="1"/>
    <col min="779" max="779" width="3.28515625" style="54" customWidth="1"/>
    <col min="780" max="780" width="4.42578125" style="54" customWidth="1"/>
    <col min="781" max="1022" width="9.140625" style="54" customWidth="1"/>
    <col min="1023" max="1023" width="3.7109375" style="54" customWidth="1"/>
    <col min="1024" max="1024" width="2.140625" style="54"/>
    <col min="1025" max="1025" width="4" style="54" customWidth="1"/>
    <col min="1026" max="1026" width="11.42578125" style="54" customWidth="1"/>
    <col min="1027" max="1029" width="10.7109375" style="54" customWidth="1"/>
    <col min="1030" max="1030" width="13.85546875" style="54" customWidth="1"/>
    <col min="1031" max="1031" width="15.42578125" style="54" customWidth="1"/>
    <col min="1032" max="1032" width="12.5703125" style="54" customWidth="1"/>
    <col min="1033" max="1033" width="12.140625" style="54" customWidth="1"/>
    <col min="1034" max="1034" width="9.7109375" style="54" customWidth="1"/>
    <col min="1035" max="1035" width="3.28515625" style="54" customWidth="1"/>
    <col min="1036" max="1036" width="4.42578125" style="54" customWidth="1"/>
    <col min="1037" max="1278" width="9.140625" style="54" customWidth="1"/>
    <col min="1279" max="1279" width="3.7109375" style="54" customWidth="1"/>
    <col min="1280" max="1280" width="2.140625" style="54"/>
    <col min="1281" max="1281" width="4" style="54" customWidth="1"/>
    <col min="1282" max="1282" width="11.42578125" style="54" customWidth="1"/>
    <col min="1283" max="1285" width="10.7109375" style="54" customWidth="1"/>
    <col min="1286" max="1286" width="13.85546875" style="54" customWidth="1"/>
    <col min="1287" max="1287" width="15.42578125" style="54" customWidth="1"/>
    <col min="1288" max="1288" width="12.5703125" style="54" customWidth="1"/>
    <col min="1289" max="1289" width="12.140625" style="54" customWidth="1"/>
    <col min="1290" max="1290" width="9.7109375" style="54" customWidth="1"/>
    <col min="1291" max="1291" width="3.28515625" style="54" customWidth="1"/>
    <col min="1292" max="1292" width="4.42578125" style="54" customWidth="1"/>
    <col min="1293" max="1534" width="9.140625" style="54" customWidth="1"/>
    <col min="1535" max="1535" width="3.7109375" style="54" customWidth="1"/>
    <col min="1536" max="1536" width="2.140625" style="54"/>
    <col min="1537" max="1537" width="4" style="54" customWidth="1"/>
    <col min="1538" max="1538" width="11.42578125" style="54" customWidth="1"/>
    <col min="1539" max="1541" width="10.7109375" style="54" customWidth="1"/>
    <col min="1542" max="1542" width="13.85546875" style="54" customWidth="1"/>
    <col min="1543" max="1543" width="15.42578125" style="54" customWidth="1"/>
    <col min="1544" max="1544" width="12.5703125" style="54" customWidth="1"/>
    <col min="1545" max="1545" width="12.140625" style="54" customWidth="1"/>
    <col min="1546" max="1546" width="9.7109375" style="54" customWidth="1"/>
    <col min="1547" max="1547" width="3.28515625" style="54" customWidth="1"/>
    <col min="1548" max="1548" width="4.42578125" style="54" customWidth="1"/>
    <col min="1549" max="1790" width="9.140625" style="54" customWidth="1"/>
    <col min="1791" max="1791" width="3.7109375" style="54" customWidth="1"/>
    <col min="1792" max="1792" width="2.140625" style="54"/>
    <col min="1793" max="1793" width="4" style="54" customWidth="1"/>
    <col min="1794" max="1794" width="11.42578125" style="54" customWidth="1"/>
    <col min="1795" max="1797" width="10.7109375" style="54" customWidth="1"/>
    <col min="1798" max="1798" width="13.85546875" style="54" customWidth="1"/>
    <col min="1799" max="1799" width="15.42578125" style="54" customWidth="1"/>
    <col min="1800" max="1800" width="12.5703125" style="54" customWidth="1"/>
    <col min="1801" max="1801" width="12.140625" style="54" customWidth="1"/>
    <col min="1802" max="1802" width="9.7109375" style="54" customWidth="1"/>
    <col min="1803" max="1803" width="3.28515625" style="54" customWidth="1"/>
    <col min="1804" max="1804" width="4.42578125" style="54" customWidth="1"/>
    <col min="1805" max="2046" width="9.140625" style="54" customWidth="1"/>
    <col min="2047" max="2047" width="3.7109375" style="54" customWidth="1"/>
    <col min="2048" max="2048" width="2.140625" style="54"/>
    <col min="2049" max="2049" width="4" style="54" customWidth="1"/>
    <col min="2050" max="2050" width="11.42578125" style="54" customWidth="1"/>
    <col min="2051" max="2053" width="10.7109375" style="54" customWidth="1"/>
    <col min="2054" max="2054" width="13.85546875" style="54" customWidth="1"/>
    <col min="2055" max="2055" width="15.42578125" style="54" customWidth="1"/>
    <col min="2056" max="2056" width="12.5703125" style="54" customWidth="1"/>
    <col min="2057" max="2057" width="12.140625" style="54" customWidth="1"/>
    <col min="2058" max="2058" width="9.7109375" style="54" customWidth="1"/>
    <col min="2059" max="2059" width="3.28515625" style="54" customWidth="1"/>
    <col min="2060" max="2060" width="4.42578125" style="54" customWidth="1"/>
    <col min="2061" max="2302" width="9.140625" style="54" customWidth="1"/>
    <col min="2303" max="2303" width="3.7109375" style="54" customWidth="1"/>
    <col min="2304" max="2304" width="2.140625" style="54"/>
    <col min="2305" max="2305" width="4" style="54" customWidth="1"/>
    <col min="2306" max="2306" width="11.42578125" style="54" customWidth="1"/>
    <col min="2307" max="2309" width="10.7109375" style="54" customWidth="1"/>
    <col min="2310" max="2310" width="13.85546875" style="54" customWidth="1"/>
    <col min="2311" max="2311" width="15.42578125" style="54" customWidth="1"/>
    <col min="2312" max="2312" width="12.5703125" style="54" customWidth="1"/>
    <col min="2313" max="2313" width="12.140625" style="54" customWidth="1"/>
    <col min="2314" max="2314" width="9.7109375" style="54" customWidth="1"/>
    <col min="2315" max="2315" width="3.28515625" style="54" customWidth="1"/>
    <col min="2316" max="2316" width="4.42578125" style="54" customWidth="1"/>
    <col min="2317" max="2558" width="9.140625" style="54" customWidth="1"/>
    <col min="2559" max="2559" width="3.7109375" style="54" customWidth="1"/>
    <col min="2560" max="2560" width="2.140625" style="54"/>
    <col min="2561" max="2561" width="4" style="54" customWidth="1"/>
    <col min="2562" max="2562" width="11.42578125" style="54" customWidth="1"/>
    <col min="2563" max="2565" width="10.7109375" style="54" customWidth="1"/>
    <col min="2566" max="2566" width="13.85546875" style="54" customWidth="1"/>
    <col min="2567" max="2567" width="15.42578125" style="54" customWidth="1"/>
    <col min="2568" max="2568" width="12.5703125" style="54" customWidth="1"/>
    <col min="2569" max="2569" width="12.140625" style="54" customWidth="1"/>
    <col min="2570" max="2570" width="9.7109375" style="54" customWidth="1"/>
    <col min="2571" max="2571" width="3.28515625" style="54" customWidth="1"/>
    <col min="2572" max="2572" width="4.42578125" style="54" customWidth="1"/>
    <col min="2573" max="2814" width="9.140625" style="54" customWidth="1"/>
    <col min="2815" max="2815" width="3.7109375" style="54" customWidth="1"/>
    <col min="2816" max="2816" width="2.140625" style="54"/>
    <col min="2817" max="2817" width="4" style="54" customWidth="1"/>
    <col min="2818" max="2818" width="11.42578125" style="54" customWidth="1"/>
    <col min="2819" max="2821" width="10.7109375" style="54" customWidth="1"/>
    <col min="2822" max="2822" width="13.85546875" style="54" customWidth="1"/>
    <col min="2823" max="2823" width="15.42578125" style="54" customWidth="1"/>
    <col min="2824" max="2824" width="12.5703125" style="54" customWidth="1"/>
    <col min="2825" max="2825" width="12.140625" style="54" customWidth="1"/>
    <col min="2826" max="2826" width="9.7109375" style="54" customWidth="1"/>
    <col min="2827" max="2827" width="3.28515625" style="54" customWidth="1"/>
    <col min="2828" max="2828" width="4.42578125" style="54" customWidth="1"/>
    <col min="2829" max="3070" width="9.140625" style="54" customWidth="1"/>
    <col min="3071" max="3071" width="3.7109375" style="54" customWidth="1"/>
    <col min="3072" max="3072" width="2.140625" style="54"/>
    <col min="3073" max="3073" width="4" style="54" customWidth="1"/>
    <col min="3074" max="3074" width="11.42578125" style="54" customWidth="1"/>
    <col min="3075" max="3077" width="10.7109375" style="54" customWidth="1"/>
    <col min="3078" max="3078" width="13.85546875" style="54" customWidth="1"/>
    <col min="3079" max="3079" width="15.42578125" style="54" customWidth="1"/>
    <col min="3080" max="3080" width="12.5703125" style="54" customWidth="1"/>
    <col min="3081" max="3081" width="12.140625" style="54" customWidth="1"/>
    <col min="3082" max="3082" width="9.7109375" style="54" customWidth="1"/>
    <col min="3083" max="3083" width="3.28515625" style="54" customWidth="1"/>
    <col min="3084" max="3084" width="4.42578125" style="54" customWidth="1"/>
    <col min="3085" max="3326" width="9.140625" style="54" customWidth="1"/>
    <col min="3327" max="3327" width="3.7109375" style="54" customWidth="1"/>
    <col min="3328" max="3328" width="2.140625" style="54"/>
    <col min="3329" max="3329" width="4" style="54" customWidth="1"/>
    <col min="3330" max="3330" width="11.42578125" style="54" customWidth="1"/>
    <col min="3331" max="3333" width="10.7109375" style="54" customWidth="1"/>
    <col min="3334" max="3334" width="13.85546875" style="54" customWidth="1"/>
    <col min="3335" max="3335" width="15.42578125" style="54" customWidth="1"/>
    <col min="3336" max="3336" width="12.5703125" style="54" customWidth="1"/>
    <col min="3337" max="3337" width="12.140625" style="54" customWidth="1"/>
    <col min="3338" max="3338" width="9.7109375" style="54" customWidth="1"/>
    <col min="3339" max="3339" width="3.28515625" style="54" customWidth="1"/>
    <col min="3340" max="3340" width="4.42578125" style="54" customWidth="1"/>
    <col min="3341" max="3582" width="9.140625" style="54" customWidth="1"/>
    <col min="3583" max="3583" width="3.7109375" style="54" customWidth="1"/>
    <col min="3584" max="3584" width="2.140625" style="54"/>
    <col min="3585" max="3585" width="4" style="54" customWidth="1"/>
    <col min="3586" max="3586" width="11.42578125" style="54" customWidth="1"/>
    <col min="3587" max="3589" width="10.7109375" style="54" customWidth="1"/>
    <col min="3590" max="3590" width="13.85546875" style="54" customWidth="1"/>
    <col min="3591" max="3591" width="15.42578125" style="54" customWidth="1"/>
    <col min="3592" max="3592" width="12.5703125" style="54" customWidth="1"/>
    <col min="3593" max="3593" width="12.140625" style="54" customWidth="1"/>
    <col min="3594" max="3594" width="9.7109375" style="54" customWidth="1"/>
    <col min="3595" max="3595" width="3.28515625" style="54" customWidth="1"/>
    <col min="3596" max="3596" width="4.42578125" style="54" customWidth="1"/>
    <col min="3597" max="3838" width="9.140625" style="54" customWidth="1"/>
    <col min="3839" max="3839" width="3.7109375" style="54" customWidth="1"/>
    <col min="3840" max="3840" width="2.140625" style="54"/>
    <col min="3841" max="3841" width="4" style="54" customWidth="1"/>
    <col min="3842" max="3842" width="11.42578125" style="54" customWidth="1"/>
    <col min="3843" max="3845" width="10.7109375" style="54" customWidth="1"/>
    <col min="3846" max="3846" width="13.85546875" style="54" customWidth="1"/>
    <col min="3847" max="3847" width="15.42578125" style="54" customWidth="1"/>
    <col min="3848" max="3848" width="12.5703125" style="54" customWidth="1"/>
    <col min="3849" max="3849" width="12.140625" style="54" customWidth="1"/>
    <col min="3850" max="3850" width="9.7109375" style="54" customWidth="1"/>
    <col min="3851" max="3851" width="3.28515625" style="54" customWidth="1"/>
    <col min="3852" max="3852" width="4.42578125" style="54" customWidth="1"/>
    <col min="3853" max="4094" width="9.140625" style="54" customWidth="1"/>
    <col min="4095" max="4095" width="3.7109375" style="54" customWidth="1"/>
    <col min="4096" max="4096" width="2.140625" style="54"/>
    <col min="4097" max="4097" width="4" style="54" customWidth="1"/>
    <col min="4098" max="4098" width="11.42578125" style="54" customWidth="1"/>
    <col min="4099" max="4101" width="10.7109375" style="54" customWidth="1"/>
    <col min="4102" max="4102" width="13.85546875" style="54" customWidth="1"/>
    <col min="4103" max="4103" width="15.42578125" style="54" customWidth="1"/>
    <col min="4104" max="4104" width="12.5703125" style="54" customWidth="1"/>
    <col min="4105" max="4105" width="12.140625" style="54" customWidth="1"/>
    <col min="4106" max="4106" width="9.7109375" style="54" customWidth="1"/>
    <col min="4107" max="4107" width="3.28515625" style="54" customWidth="1"/>
    <col min="4108" max="4108" width="4.42578125" style="54" customWidth="1"/>
    <col min="4109" max="4350" width="9.140625" style="54" customWidth="1"/>
    <col min="4351" max="4351" width="3.7109375" style="54" customWidth="1"/>
    <col min="4352" max="4352" width="2.140625" style="54"/>
    <col min="4353" max="4353" width="4" style="54" customWidth="1"/>
    <col min="4354" max="4354" width="11.42578125" style="54" customWidth="1"/>
    <col min="4355" max="4357" width="10.7109375" style="54" customWidth="1"/>
    <col min="4358" max="4358" width="13.85546875" style="54" customWidth="1"/>
    <col min="4359" max="4359" width="15.42578125" style="54" customWidth="1"/>
    <col min="4360" max="4360" width="12.5703125" style="54" customWidth="1"/>
    <col min="4361" max="4361" width="12.140625" style="54" customWidth="1"/>
    <col min="4362" max="4362" width="9.7109375" style="54" customWidth="1"/>
    <col min="4363" max="4363" width="3.28515625" style="54" customWidth="1"/>
    <col min="4364" max="4364" width="4.42578125" style="54" customWidth="1"/>
    <col min="4365" max="4606" width="9.140625" style="54" customWidth="1"/>
    <col min="4607" max="4607" width="3.7109375" style="54" customWidth="1"/>
    <col min="4608" max="4608" width="2.140625" style="54"/>
    <col min="4609" max="4609" width="4" style="54" customWidth="1"/>
    <col min="4610" max="4610" width="11.42578125" style="54" customWidth="1"/>
    <col min="4611" max="4613" width="10.7109375" style="54" customWidth="1"/>
    <col min="4614" max="4614" width="13.85546875" style="54" customWidth="1"/>
    <col min="4615" max="4615" width="15.42578125" style="54" customWidth="1"/>
    <col min="4616" max="4616" width="12.5703125" style="54" customWidth="1"/>
    <col min="4617" max="4617" width="12.140625" style="54" customWidth="1"/>
    <col min="4618" max="4618" width="9.7109375" style="54" customWidth="1"/>
    <col min="4619" max="4619" width="3.28515625" style="54" customWidth="1"/>
    <col min="4620" max="4620" width="4.42578125" style="54" customWidth="1"/>
    <col min="4621" max="4862" width="9.140625" style="54" customWidth="1"/>
    <col min="4863" max="4863" width="3.7109375" style="54" customWidth="1"/>
    <col min="4864" max="4864" width="2.140625" style="54"/>
    <col min="4865" max="4865" width="4" style="54" customWidth="1"/>
    <col min="4866" max="4866" width="11.42578125" style="54" customWidth="1"/>
    <col min="4867" max="4869" width="10.7109375" style="54" customWidth="1"/>
    <col min="4870" max="4870" width="13.85546875" style="54" customWidth="1"/>
    <col min="4871" max="4871" width="15.42578125" style="54" customWidth="1"/>
    <col min="4872" max="4872" width="12.5703125" style="54" customWidth="1"/>
    <col min="4873" max="4873" width="12.140625" style="54" customWidth="1"/>
    <col min="4874" max="4874" width="9.7109375" style="54" customWidth="1"/>
    <col min="4875" max="4875" width="3.28515625" style="54" customWidth="1"/>
    <col min="4876" max="4876" width="4.42578125" style="54" customWidth="1"/>
    <col min="4877" max="5118" width="9.140625" style="54" customWidth="1"/>
    <col min="5119" max="5119" width="3.7109375" style="54" customWidth="1"/>
    <col min="5120" max="5120" width="2.140625" style="54"/>
    <col min="5121" max="5121" width="4" style="54" customWidth="1"/>
    <col min="5122" max="5122" width="11.42578125" style="54" customWidth="1"/>
    <col min="5123" max="5125" width="10.7109375" style="54" customWidth="1"/>
    <col min="5126" max="5126" width="13.85546875" style="54" customWidth="1"/>
    <col min="5127" max="5127" width="15.42578125" style="54" customWidth="1"/>
    <col min="5128" max="5128" width="12.5703125" style="54" customWidth="1"/>
    <col min="5129" max="5129" width="12.140625" style="54" customWidth="1"/>
    <col min="5130" max="5130" width="9.7109375" style="54" customWidth="1"/>
    <col min="5131" max="5131" width="3.28515625" style="54" customWidth="1"/>
    <col min="5132" max="5132" width="4.42578125" style="54" customWidth="1"/>
    <col min="5133" max="5374" width="9.140625" style="54" customWidth="1"/>
    <col min="5375" max="5375" width="3.7109375" style="54" customWidth="1"/>
    <col min="5376" max="5376" width="2.140625" style="54"/>
    <col min="5377" max="5377" width="4" style="54" customWidth="1"/>
    <col min="5378" max="5378" width="11.42578125" style="54" customWidth="1"/>
    <col min="5379" max="5381" width="10.7109375" style="54" customWidth="1"/>
    <col min="5382" max="5382" width="13.85546875" style="54" customWidth="1"/>
    <col min="5383" max="5383" width="15.42578125" style="54" customWidth="1"/>
    <col min="5384" max="5384" width="12.5703125" style="54" customWidth="1"/>
    <col min="5385" max="5385" width="12.140625" style="54" customWidth="1"/>
    <col min="5386" max="5386" width="9.7109375" style="54" customWidth="1"/>
    <col min="5387" max="5387" width="3.28515625" style="54" customWidth="1"/>
    <col min="5388" max="5388" width="4.42578125" style="54" customWidth="1"/>
    <col min="5389" max="5630" width="9.140625" style="54" customWidth="1"/>
    <col min="5631" max="5631" width="3.7109375" style="54" customWidth="1"/>
    <col min="5632" max="5632" width="2.140625" style="54"/>
    <col min="5633" max="5633" width="4" style="54" customWidth="1"/>
    <col min="5634" max="5634" width="11.42578125" style="54" customWidth="1"/>
    <col min="5635" max="5637" width="10.7109375" style="54" customWidth="1"/>
    <col min="5638" max="5638" width="13.85546875" style="54" customWidth="1"/>
    <col min="5639" max="5639" width="15.42578125" style="54" customWidth="1"/>
    <col min="5640" max="5640" width="12.5703125" style="54" customWidth="1"/>
    <col min="5641" max="5641" width="12.140625" style="54" customWidth="1"/>
    <col min="5642" max="5642" width="9.7109375" style="54" customWidth="1"/>
    <col min="5643" max="5643" width="3.28515625" style="54" customWidth="1"/>
    <col min="5644" max="5644" width="4.42578125" style="54" customWidth="1"/>
    <col min="5645" max="5886" width="9.140625" style="54" customWidth="1"/>
    <col min="5887" max="5887" width="3.7109375" style="54" customWidth="1"/>
    <col min="5888" max="5888" width="2.140625" style="54"/>
    <col min="5889" max="5889" width="4" style="54" customWidth="1"/>
    <col min="5890" max="5890" width="11.42578125" style="54" customWidth="1"/>
    <col min="5891" max="5893" width="10.7109375" style="54" customWidth="1"/>
    <col min="5894" max="5894" width="13.85546875" style="54" customWidth="1"/>
    <col min="5895" max="5895" width="15.42578125" style="54" customWidth="1"/>
    <col min="5896" max="5896" width="12.5703125" style="54" customWidth="1"/>
    <col min="5897" max="5897" width="12.140625" style="54" customWidth="1"/>
    <col min="5898" max="5898" width="9.7109375" style="54" customWidth="1"/>
    <col min="5899" max="5899" width="3.28515625" style="54" customWidth="1"/>
    <col min="5900" max="5900" width="4.42578125" style="54" customWidth="1"/>
    <col min="5901" max="6142" width="9.140625" style="54" customWidth="1"/>
    <col min="6143" max="6143" width="3.7109375" style="54" customWidth="1"/>
    <col min="6144" max="6144" width="2.140625" style="54"/>
    <col min="6145" max="6145" width="4" style="54" customWidth="1"/>
    <col min="6146" max="6146" width="11.42578125" style="54" customWidth="1"/>
    <col min="6147" max="6149" width="10.7109375" style="54" customWidth="1"/>
    <col min="6150" max="6150" width="13.85546875" style="54" customWidth="1"/>
    <col min="6151" max="6151" width="15.42578125" style="54" customWidth="1"/>
    <col min="6152" max="6152" width="12.5703125" style="54" customWidth="1"/>
    <col min="6153" max="6153" width="12.140625" style="54" customWidth="1"/>
    <col min="6154" max="6154" width="9.7109375" style="54" customWidth="1"/>
    <col min="6155" max="6155" width="3.28515625" style="54" customWidth="1"/>
    <col min="6156" max="6156" width="4.42578125" style="54" customWidth="1"/>
    <col min="6157" max="6398" width="9.140625" style="54" customWidth="1"/>
    <col min="6399" max="6399" width="3.7109375" style="54" customWidth="1"/>
    <col min="6400" max="6400" width="2.140625" style="54"/>
    <col min="6401" max="6401" width="4" style="54" customWidth="1"/>
    <col min="6402" max="6402" width="11.42578125" style="54" customWidth="1"/>
    <col min="6403" max="6405" width="10.7109375" style="54" customWidth="1"/>
    <col min="6406" max="6406" width="13.85546875" style="54" customWidth="1"/>
    <col min="6407" max="6407" width="15.42578125" style="54" customWidth="1"/>
    <col min="6408" max="6408" width="12.5703125" style="54" customWidth="1"/>
    <col min="6409" max="6409" width="12.140625" style="54" customWidth="1"/>
    <col min="6410" max="6410" width="9.7109375" style="54" customWidth="1"/>
    <col min="6411" max="6411" width="3.28515625" style="54" customWidth="1"/>
    <col min="6412" max="6412" width="4.42578125" style="54" customWidth="1"/>
    <col min="6413" max="6654" width="9.140625" style="54" customWidth="1"/>
    <col min="6655" max="6655" width="3.7109375" style="54" customWidth="1"/>
    <col min="6656" max="6656" width="2.140625" style="54"/>
    <col min="6657" max="6657" width="4" style="54" customWidth="1"/>
    <col min="6658" max="6658" width="11.42578125" style="54" customWidth="1"/>
    <col min="6659" max="6661" width="10.7109375" style="54" customWidth="1"/>
    <col min="6662" max="6662" width="13.85546875" style="54" customWidth="1"/>
    <col min="6663" max="6663" width="15.42578125" style="54" customWidth="1"/>
    <col min="6664" max="6664" width="12.5703125" style="54" customWidth="1"/>
    <col min="6665" max="6665" width="12.140625" style="54" customWidth="1"/>
    <col min="6666" max="6666" width="9.7109375" style="54" customWidth="1"/>
    <col min="6667" max="6667" width="3.28515625" style="54" customWidth="1"/>
    <col min="6668" max="6668" width="4.42578125" style="54" customWidth="1"/>
    <col min="6669" max="6910" width="9.140625" style="54" customWidth="1"/>
    <col min="6911" max="6911" width="3.7109375" style="54" customWidth="1"/>
    <col min="6912" max="6912" width="2.140625" style="54"/>
    <col min="6913" max="6913" width="4" style="54" customWidth="1"/>
    <col min="6914" max="6914" width="11.42578125" style="54" customWidth="1"/>
    <col min="6915" max="6917" width="10.7109375" style="54" customWidth="1"/>
    <col min="6918" max="6918" width="13.85546875" style="54" customWidth="1"/>
    <col min="6919" max="6919" width="15.42578125" style="54" customWidth="1"/>
    <col min="6920" max="6920" width="12.5703125" style="54" customWidth="1"/>
    <col min="6921" max="6921" width="12.140625" style="54" customWidth="1"/>
    <col min="6922" max="6922" width="9.7109375" style="54" customWidth="1"/>
    <col min="6923" max="6923" width="3.28515625" style="54" customWidth="1"/>
    <col min="6924" max="6924" width="4.42578125" style="54" customWidth="1"/>
    <col min="6925" max="7166" width="9.140625" style="54" customWidth="1"/>
    <col min="7167" max="7167" width="3.7109375" style="54" customWidth="1"/>
    <col min="7168" max="7168" width="2.140625" style="54"/>
    <col min="7169" max="7169" width="4" style="54" customWidth="1"/>
    <col min="7170" max="7170" width="11.42578125" style="54" customWidth="1"/>
    <col min="7171" max="7173" width="10.7109375" style="54" customWidth="1"/>
    <col min="7174" max="7174" width="13.85546875" style="54" customWidth="1"/>
    <col min="7175" max="7175" width="15.42578125" style="54" customWidth="1"/>
    <col min="7176" max="7176" width="12.5703125" style="54" customWidth="1"/>
    <col min="7177" max="7177" width="12.140625" style="54" customWidth="1"/>
    <col min="7178" max="7178" width="9.7109375" style="54" customWidth="1"/>
    <col min="7179" max="7179" width="3.28515625" style="54" customWidth="1"/>
    <col min="7180" max="7180" width="4.42578125" style="54" customWidth="1"/>
    <col min="7181" max="7422" width="9.140625" style="54" customWidth="1"/>
    <col min="7423" max="7423" width="3.7109375" style="54" customWidth="1"/>
    <col min="7424" max="7424" width="2.140625" style="54"/>
    <col min="7425" max="7425" width="4" style="54" customWidth="1"/>
    <col min="7426" max="7426" width="11.42578125" style="54" customWidth="1"/>
    <col min="7427" max="7429" width="10.7109375" style="54" customWidth="1"/>
    <col min="7430" max="7430" width="13.85546875" style="54" customWidth="1"/>
    <col min="7431" max="7431" width="15.42578125" style="54" customWidth="1"/>
    <col min="7432" max="7432" width="12.5703125" style="54" customWidth="1"/>
    <col min="7433" max="7433" width="12.140625" style="54" customWidth="1"/>
    <col min="7434" max="7434" width="9.7109375" style="54" customWidth="1"/>
    <col min="7435" max="7435" width="3.28515625" style="54" customWidth="1"/>
    <col min="7436" max="7436" width="4.42578125" style="54" customWidth="1"/>
    <col min="7437" max="7678" width="9.140625" style="54" customWidth="1"/>
    <col min="7679" max="7679" width="3.7109375" style="54" customWidth="1"/>
    <col min="7680" max="7680" width="2.140625" style="54"/>
    <col min="7681" max="7681" width="4" style="54" customWidth="1"/>
    <col min="7682" max="7682" width="11.42578125" style="54" customWidth="1"/>
    <col min="7683" max="7685" width="10.7109375" style="54" customWidth="1"/>
    <col min="7686" max="7686" width="13.85546875" style="54" customWidth="1"/>
    <col min="7687" max="7687" width="15.42578125" style="54" customWidth="1"/>
    <col min="7688" max="7688" width="12.5703125" style="54" customWidth="1"/>
    <col min="7689" max="7689" width="12.140625" style="54" customWidth="1"/>
    <col min="7690" max="7690" width="9.7109375" style="54" customWidth="1"/>
    <col min="7691" max="7691" width="3.28515625" style="54" customWidth="1"/>
    <col min="7692" max="7692" width="4.42578125" style="54" customWidth="1"/>
    <col min="7693" max="7934" width="9.140625" style="54" customWidth="1"/>
    <col min="7935" max="7935" width="3.7109375" style="54" customWidth="1"/>
    <col min="7936" max="7936" width="2.140625" style="54"/>
    <col min="7937" max="7937" width="4" style="54" customWidth="1"/>
    <col min="7938" max="7938" width="11.42578125" style="54" customWidth="1"/>
    <col min="7939" max="7941" width="10.7109375" style="54" customWidth="1"/>
    <col min="7942" max="7942" width="13.85546875" style="54" customWidth="1"/>
    <col min="7943" max="7943" width="15.42578125" style="54" customWidth="1"/>
    <col min="7944" max="7944" width="12.5703125" style="54" customWidth="1"/>
    <col min="7945" max="7945" width="12.140625" style="54" customWidth="1"/>
    <col min="7946" max="7946" width="9.7109375" style="54" customWidth="1"/>
    <col min="7947" max="7947" width="3.28515625" style="54" customWidth="1"/>
    <col min="7948" max="7948" width="4.42578125" style="54" customWidth="1"/>
    <col min="7949" max="8190" width="9.140625" style="54" customWidth="1"/>
    <col min="8191" max="8191" width="3.7109375" style="54" customWidth="1"/>
    <col min="8192" max="8192" width="2.140625" style="54"/>
    <col min="8193" max="8193" width="4" style="54" customWidth="1"/>
    <col min="8194" max="8194" width="11.42578125" style="54" customWidth="1"/>
    <col min="8195" max="8197" width="10.7109375" style="54" customWidth="1"/>
    <col min="8198" max="8198" width="13.85546875" style="54" customWidth="1"/>
    <col min="8199" max="8199" width="15.42578125" style="54" customWidth="1"/>
    <col min="8200" max="8200" width="12.5703125" style="54" customWidth="1"/>
    <col min="8201" max="8201" width="12.140625" style="54" customWidth="1"/>
    <col min="8202" max="8202" width="9.7109375" style="54" customWidth="1"/>
    <col min="8203" max="8203" width="3.28515625" style="54" customWidth="1"/>
    <col min="8204" max="8204" width="4.42578125" style="54" customWidth="1"/>
    <col min="8205" max="8446" width="9.140625" style="54" customWidth="1"/>
    <col min="8447" max="8447" width="3.7109375" style="54" customWidth="1"/>
    <col min="8448" max="8448" width="2.140625" style="54"/>
    <col min="8449" max="8449" width="4" style="54" customWidth="1"/>
    <col min="8450" max="8450" width="11.42578125" style="54" customWidth="1"/>
    <col min="8451" max="8453" width="10.7109375" style="54" customWidth="1"/>
    <col min="8454" max="8454" width="13.85546875" style="54" customWidth="1"/>
    <col min="8455" max="8455" width="15.42578125" style="54" customWidth="1"/>
    <col min="8456" max="8456" width="12.5703125" style="54" customWidth="1"/>
    <col min="8457" max="8457" width="12.140625" style="54" customWidth="1"/>
    <col min="8458" max="8458" width="9.7109375" style="54" customWidth="1"/>
    <col min="8459" max="8459" width="3.28515625" style="54" customWidth="1"/>
    <col min="8460" max="8460" width="4.42578125" style="54" customWidth="1"/>
    <col min="8461" max="8702" width="9.140625" style="54" customWidth="1"/>
    <col min="8703" max="8703" width="3.7109375" style="54" customWidth="1"/>
    <col min="8704" max="8704" width="2.140625" style="54"/>
    <col min="8705" max="8705" width="4" style="54" customWidth="1"/>
    <col min="8706" max="8706" width="11.42578125" style="54" customWidth="1"/>
    <col min="8707" max="8709" width="10.7109375" style="54" customWidth="1"/>
    <col min="8710" max="8710" width="13.85546875" style="54" customWidth="1"/>
    <col min="8711" max="8711" width="15.42578125" style="54" customWidth="1"/>
    <col min="8712" max="8712" width="12.5703125" style="54" customWidth="1"/>
    <col min="8713" max="8713" width="12.140625" style="54" customWidth="1"/>
    <col min="8714" max="8714" width="9.7109375" style="54" customWidth="1"/>
    <col min="8715" max="8715" width="3.28515625" style="54" customWidth="1"/>
    <col min="8716" max="8716" width="4.42578125" style="54" customWidth="1"/>
    <col min="8717" max="8958" width="9.140625" style="54" customWidth="1"/>
    <col min="8959" max="8959" width="3.7109375" style="54" customWidth="1"/>
    <col min="8960" max="8960" width="2.140625" style="54"/>
    <col min="8961" max="8961" width="4" style="54" customWidth="1"/>
    <col min="8962" max="8962" width="11.42578125" style="54" customWidth="1"/>
    <col min="8963" max="8965" width="10.7109375" style="54" customWidth="1"/>
    <col min="8966" max="8966" width="13.85546875" style="54" customWidth="1"/>
    <col min="8967" max="8967" width="15.42578125" style="54" customWidth="1"/>
    <col min="8968" max="8968" width="12.5703125" style="54" customWidth="1"/>
    <col min="8969" max="8969" width="12.140625" style="54" customWidth="1"/>
    <col min="8970" max="8970" width="9.7109375" style="54" customWidth="1"/>
    <col min="8971" max="8971" width="3.28515625" style="54" customWidth="1"/>
    <col min="8972" max="8972" width="4.42578125" style="54" customWidth="1"/>
    <col min="8973" max="9214" width="9.140625" style="54" customWidth="1"/>
    <col min="9215" max="9215" width="3.7109375" style="54" customWidth="1"/>
    <col min="9216" max="9216" width="2.140625" style="54"/>
    <col min="9217" max="9217" width="4" style="54" customWidth="1"/>
    <col min="9218" max="9218" width="11.42578125" style="54" customWidth="1"/>
    <col min="9219" max="9221" width="10.7109375" style="54" customWidth="1"/>
    <col min="9222" max="9222" width="13.85546875" style="54" customWidth="1"/>
    <col min="9223" max="9223" width="15.42578125" style="54" customWidth="1"/>
    <col min="9224" max="9224" width="12.5703125" style="54" customWidth="1"/>
    <col min="9225" max="9225" width="12.140625" style="54" customWidth="1"/>
    <col min="9226" max="9226" width="9.7109375" style="54" customWidth="1"/>
    <col min="9227" max="9227" width="3.28515625" style="54" customWidth="1"/>
    <col min="9228" max="9228" width="4.42578125" style="54" customWidth="1"/>
    <col min="9229" max="9470" width="9.140625" style="54" customWidth="1"/>
    <col min="9471" max="9471" width="3.7109375" style="54" customWidth="1"/>
    <col min="9472" max="9472" width="2.140625" style="54"/>
    <col min="9473" max="9473" width="4" style="54" customWidth="1"/>
    <col min="9474" max="9474" width="11.42578125" style="54" customWidth="1"/>
    <col min="9475" max="9477" width="10.7109375" style="54" customWidth="1"/>
    <col min="9478" max="9478" width="13.85546875" style="54" customWidth="1"/>
    <col min="9479" max="9479" width="15.42578125" style="54" customWidth="1"/>
    <col min="9480" max="9480" width="12.5703125" style="54" customWidth="1"/>
    <col min="9481" max="9481" width="12.140625" style="54" customWidth="1"/>
    <col min="9482" max="9482" width="9.7109375" style="54" customWidth="1"/>
    <col min="9483" max="9483" width="3.28515625" style="54" customWidth="1"/>
    <col min="9484" max="9484" width="4.42578125" style="54" customWidth="1"/>
    <col min="9485" max="9726" width="9.140625" style="54" customWidth="1"/>
    <col min="9727" max="9727" width="3.7109375" style="54" customWidth="1"/>
    <col min="9728" max="9728" width="2.140625" style="54"/>
    <col min="9729" max="9729" width="4" style="54" customWidth="1"/>
    <col min="9730" max="9730" width="11.42578125" style="54" customWidth="1"/>
    <col min="9731" max="9733" width="10.7109375" style="54" customWidth="1"/>
    <col min="9734" max="9734" width="13.85546875" style="54" customWidth="1"/>
    <col min="9735" max="9735" width="15.42578125" style="54" customWidth="1"/>
    <col min="9736" max="9736" width="12.5703125" style="54" customWidth="1"/>
    <col min="9737" max="9737" width="12.140625" style="54" customWidth="1"/>
    <col min="9738" max="9738" width="9.7109375" style="54" customWidth="1"/>
    <col min="9739" max="9739" width="3.28515625" style="54" customWidth="1"/>
    <col min="9740" max="9740" width="4.42578125" style="54" customWidth="1"/>
    <col min="9741" max="9982" width="9.140625" style="54" customWidth="1"/>
    <col min="9983" max="9983" width="3.7109375" style="54" customWidth="1"/>
    <col min="9984" max="9984" width="2.140625" style="54"/>
    <col min="9985" max="9985" width="4" style="54" customWidth="1"/>
    <col min="9986" max="9986" width="11.42578125" style="54" customWidth="1"/>
    <col min="9987" max="9989" width="10.7109375" style="54" customWidth="1"/>
    <col min="9990" max="9990" width="13.85546875" style="54" customWidth="1"/>
    <col min="9991" max="9991" width="15.42578125" style="54" customWidth="1"/>
    <col min="9992" max="9992" width="12.5703125" style="54" customWidth="1"/>
    <col min="9993" max="9993" width="12.140625" style="54" customWidth="1"/>
    <col min="9994" max="9994" width="9.7109375" style="54" customWidth="1"/>
    <col min="9995" max="9995" width="3.28515625" style="54" customWidth="1"/>
    <col min="9996" max="9996" width="4.42578125" style="54" customWidth="1"/>
    <col min="9997" max="10238" width="9.140625" style="54" customWidth="1"/>
    <col min="10239" max="10239" width="3.7109375" style="54" customWidth="1"/>
    <col min="10240" max="10240" width="2.140625" style="54"/>
    <col min="10241" max="10241" width="4" style="54" customWidth="1"/>
    <col min="10242" max="10242" width="11.42578125" style="54" customWidth="1"/>
    <col min="10243" max="10245" width="10.7109375" style="54" customWidth="1"/>
    <col min="10246" max="10246" width="13.85546875" style="54" customWidth="1"/>
    <col min="10247" max="10247" width="15.42578125" style="54" customWidth="1"/>
    <col min="10248" max="10248" width="12.5703125" style="54" customWidth="1"/>
    <col min="10249" max="10249" width="12.140625" style="54" customWidth="1"/>
    <col min="10250" max="10250" width="9.7109375" style="54" customWidth="1"/>
    <col min="10251" max="10251" width="3.28515625" style="54" customWidth="1"/>
    <col min="10252" max="10252" width="4.42578125" style="54" customWidth="1"/>
    <col min="10253" max="10494" width="9.140625" style="54" customWidth="1"/>
    <col min="10495" max="10495" width="3.7109375" style="54" customWidth="1"/>
    <col min="10496" max="10496" width="2.140625" style="54"/>
    <col min="10497" max="10497" width="4" style="54" customWidth="1"/>
    <col min="10498" max="10498" width="11.42578125" style="54" customWidth="1"/>
    <col min="10499" max="10501" width="10.7109375" style="54" customWidth="1"/>
    <col min="10502" max="10502" width="13.85546875" style="54" customWidth="1"/>
    <col min="10503" max="10503" width="15.42578125" style="54" customWidth="1"/>
    <col min="10504" max="10504" width="12.5703125" style="54" customWidth="1"/>
    <col min="10505" max="10505" width="12.140625" style="54" customWidth="1"/>
    <col min="10506" max="10506" width="9.7109375" style="54" customWidth="1"/>
    <col min="10507" max="10507" width="3.28515625" style="54" customWidth="1"/>
    <col min="10508" max="10508" width="4.42578125" style="54" customWidth="1"/>
    <col min="10509" max="10750" width="9.140625" style="54" customWidth="1"/>
    <col min="10751" max="10751" width="3.7109375" style="54" customWidth="1"/>
    <col min="10752" max="10752" width="2.140625" style="54"/>
    <col min="10753" max="10753" width="4" style="54" customWidth="1"/>
    <col min="10754" max="10754" width="11.42578125" style="54" customWidth="1"/>
    <col min="10755" max="10757" width="10.7109375" style="54" customWidth="1"/>
    <col min="10758" max="10758" width="13.85546875" style="54" customWidth="1"/>
    <col min="10759" max="10759" width="15.42578125" style="54" customWidth="1"/>
    <col min="10760" max="10760" width="12.5703125" style="54" customWidth="1"/>
    <col min="10761" max="10761" width="12.140625" style="54" customWidth="1"/>
    <col min="10762" max="10762" width="9.7109375" style="54" customWidth="1"/>
    <col min="10763" max="10763" width="3.28515625" style="54" customWidth="1"/>
    <col min="10764" max="10764" width="4.42578125" style="54" customWidth="1"/>
    <col min="10765" max="11006" width="9.140625" style="54" customWidth="1"/>
    <col min="11007" max="11007" width="3.7109375" style="54" customWidth="1"/>
    <col min="11008" max="11008" width="2.140625" style="54"/>
    <col min="11009" max="11009" width="4" style="54" customWidth="1"/>
    <col min="11010" max="11010" width="11.42578125" style="54" customWidth="1"/>
    <col min="11011" max="11013" width="10.7109375" style="54" customWidth="1"/>
    <col min="11014" max="11014" width="13.85546875" style="54" customWidth="1"/>
    <col min="11015" max="11015" width="15.42578125" style="54" customWidth="1"/>
    <col min="11016" max="11016" width="12.5703125" style="54" customWidth="1"/>
    <col min="11017" max="11017" width="12.140625" style="54" customWidth="1"/>
    <col min="11018" max="11018" width="9.7109375" style="54" customWidth="1"/>
    <col min="11019" max="11019" width="3.28515625" style="54" customWidth="1"/>
    <col min="11020" max="11020" width="4.42578125" style="54" customWidth="1"/>
    <col min="11021" max="11262" width="9.140625" style="54" customWidth="1"/>
    <col min="11263" max="11263" width="3.7109375" style="54" customWidth="1"/>
    <col min="11264" max="11264" width="2.140625" style="54"/>
    <col min="11265" max="11265" width="4" style="54" customWidth="1"/>
    <col min="11266" max="11266" width="11.42578125" style="54" customWidth="1"/>
    <col min="11267" max="11269" width="10.7109375" style="54" customWidth="1"/>
    <col min="11270" max="11270" width="13.85546875" style="54" customWidth="1"/>
    <col min="11271" max="11271" width="15.42578125" style="54" customWidth="1"/>
    <col min="11272" max="11272" width="12.5703125" style="54" customWidth="1"/>
    <col min="11273" max="11273" width="12.140625" style="54" customWidth="1"/>
    <col min="11274" max="11274" width="9.7109375" style="54" customWidth="1"/>
    <col min="11275" max="11275" width="3.28515625" style="54" customWidth="1"/>
    <col min="11276" max="11276" width="4.42578125" style="54" customWidth="1"/>
    <col min="11277" max="11518" width="9.140625" style="54" customWidth="1"/>
    <col min="11519" max="11519" width="3.7109375" style="54" customWidth="1"/>
    <col min="11520" max="11520" width="2.140625" style="54"/>
    <col min="11521" max="11521" width="4" style="54" customWidth="1"/>
    <col min="11522" max="11522" width="11.42578125" style="54" customWidth="1"/>
    <col min="11523" max="11525" width="10.7109375" style="54" customWidth="1"/>
    <col min="11526" max="11526" width="13.85546875" style="54" customWidth="1"/>
    <col min="11527" max="11527" width="15.42578125" style="54" customWidth="1"/>
    <col min="11528" max="11528" width="12.5703125" style="54" customWidth="1"/>
    <col min="11529" max="11529" width="12.140625" style="54" customWidth="1"/>
    <col min="11530" max="11530" width="9.7109375" style="54" customWidth="1"/>
    <col min="11531" max="11531" width="3.28515625" style="54" customWidth="1"/>
    <col min="11532" max="11532" width="4.42578125" style="54" customWidth="1"/>
    <col min="11533" max="11774" width="9.140625" style="54" customWidth="1"/>
    <col min="11775" max="11775" width="3.7109375" style="54" customWidth="1"/>
    <col min="11776" max="11776" width="2.140625" style="54"/>
    <col min="11777" max="11777" width="4" style="54" customWidth="1"/>
    <col min="11778" max="11778" width="11.42578125" style="54" customWidth="1"/>
    <col min="11779" max="11781" width="10.7109375" style="54" customWidth="1"/>
    <col min="11782" max="11782" width="13.85546875" style="54" customWidth="1"/>
    <col min="11783" max="11783" width="15.42578125" style="54" customWidth="1"/>
    <col min="11784" max="11784" width="12.5703125" style="54" customWidth="1"/>
    <col min="11785" max="11785" width="12.140625" style="54" customWidth="1"/>
    <col min="11786" max="11786" width="9.7109375" style="54" customWidth="1"/>
    <col min="11787" max="11787" width="3.28515625" style="54" customWidth="1"/>
    <col min="11788" max="11788" width="4.42578125" style="54" customWidth="1"/>
    <col min="11789" max="12030" width="9.140625" style="54" customWidth="1"/>
    <col min="12031" max="12031" width="3.7109375" style="54" customWidth="1"/>
    <col min="12032" max="12032" width="2.140625" style="54"/>
    <col min="12033" max="12033" width="4" style="54" customWidth="1"/>
    <col min="12034" max="12034" width="11.42578125" style="54" customWidth="1"/>
    <col min="12035" max="12037" width="10.7109375" style="54" customWidth="1"/>
    <col min="12038" max="12038" width="13.85546875" style="54" customWidth="1"/>
    <col min="12039" max="12039" width="15.42578125" style="54" customWidth="1"/>
    <col min="12040" max="12040" width="12.5703125" style="54" customWidth="1"/>
    <col min="12041" max="12041" width="12.140625" style="54" customWidth="1"/>
    <col min="12042" max="12042" width="9.7109375" style="54" customWidth="1"/>
    <col min="12043" max="12043" width="3.28515625" style="54" customWidth="1"/>
    <col min="12044" max="12044" width="4.42578125" style="54" customWidth="1"/>
    <col min="12045" max="12286" width="9.140625" style="54" customWidth="1"/>
    <col min="12287" max="12287" width="3.7109375" style="54" customWidth="1"/>
    <col min="12288" max="12288" width="2.140625" style="54"/>
    <col min="12289" max="12289" width="4" style="54" customWidth="1"/>
    <col min="12290" max="12290" width="11.42578125" style="54" customWidth="1"/>
    <col min="12291" max="12293" width="10.7109375" style="54" customWidth="1"/>
    <col min="12294" max="12294" width="13.85546875" style="54" customWidth="1"/>
    <col min="12295" max="12295" width="15.42578125" style="54" customWidth="1"/>
    <col min="12296" max="12296" width="12.5703125" style="54" customWidth="1"/>
    <col min="12297" max="12297" width="12.140625" style="54" customWidth="1"/>
    <col min="12298" max="12298" width="9.7109375" style="54" customWidth="1"/>
    <col min="12299" max="12299" width="3.28515625" style="54" customWidth="1"/>
    <col min="12300" max="12300" width="4.42578125" style="54" customWidth="1"/>
    <col min="12301" max="12542" width="9.140625" style="54" customWidth="1"/>
    <col min="12543" max="12543" width="3.7109375" style="54" customWidth="1"/>
    <col min="12544" max="12544" width="2.140625" style="54"/>
    <col min="12545" max="12545" width="4" style="54" customWidth="1"/>
    <col min="12546" max="12546" width="11.42578125" style="54" customWidth="1"/>
    <col min="12547" max="12549" width="10.7109375" style="54" customWidth="1"/>
    <col min="12550" max="12550" width="13.85546875" style="54" customWidth="1"/>
    <col min="12551" max="12551" width="15.42578125" style="54" customWidth="1"/>
    <col min="12552" max="12552" width="12.5703125" style="54" customWidth="1"/>
    <col min="12553" max="12553" width="12.140625" style="54" customWidth="1"/>
    <col min="12554" max="12554" width="9.7109375" style="54" customWidth="1"/>
    <col min="12555" max="12555" width="3.28515625" style="54" customWidth="1"/>
    <col min="12556" max="12556" width="4.42578125" style="54" customWidth="1"/>
    <col min="12557" max="12798" width="9.140625" style="54" customWidth="1"/>
    <col min="12799" max="12799" width="3.7109375" style="54" customWidth="1"/>
    <col min="12800" max="12800" width="2.140625" style="54"/>
    <col min="12801" max="12801" width="4" style="54" customWidth="1"/>
    <col min="12802" max="12802" width="11.42578125" style="54" customWidth="1"/>
    <col min="12803" max="12805" width="10.7109375" style="54" customWidth="1"/>
    <col min="12806" max="12806" width="13.85546875" style="54" customWidth="1"/>
    <col min="12807" max="12807" width="15.42578125" style="54" customWidth="1"/>
    <col min="12808" max="12808" width="12.5703125" style="54" customWidth="1"/>
    <col min="12809" max="12809" width="12.140625" style="54" customWidth="1"/>
    <col min="12810" max="12810" width="9.7109375" style="54" customWidth="1"/>
    <col min="12811" max="12811" width="3.28515625" style="54" customWidth="1"/>
    <col min="12812" max="12812" width="4.42578125" style="54" customWidth="1"/>
    <col min="12813" max="13054" width="9.140625" style="54" customWidth="1"/>
    <col min="13055" max="13055" width="3.7109375" style="54" customWidth="1"/>
    <col min="13056" max="13056" width="2.140625" style="54"/>
    <col min="13057" max="13057" width="4" style="54" customWidth="1"/>
    <col min="13058" max="13058" width="11.42578125" style="54" customWidth="1"/>
    <col min="13059" max="13061" width="10.7109375" style="54" customWidth="1"/>
    <col min="13062" max="13062" width="13.85546875" style="54" customWidth="1"/>
    <col min="13063" max="13063" width="15.42578125" style="54" customWidth="1"/>
    <col min="13064" max="13064" width="12.5703125" style="54" customWidth="1"/>
    <col min="13065" max="13065" width="12.140625" style="54" customWidth="1"/>
    <col min="13066" max="13066" width="9.7109375" style="54" customWidth="1"/>
    <col min="13067" max="13067" width="3.28515625" style="54" customWidth="1"/>
    <col min="13068" max="13068" width="4.42578125" style="54" customWidth="1"/>
    <col min="13069" max="13310" width="9.140625" style="54" customWidth="1"/>
    <col min="13311" max="13311" width="3.7109375" style="54" customWidth="1"/>
    <col min="13312" max="13312" width="2.140625" style="54"/>
    <col min="13313" max="13313" width="4" style="54" customWidth="1"/>
    <col min="13314" max="13314" width="11.42578125" style="54" customWidth="1"/>
    <col min="13315" max="13317" width="10.7109375" style="54" customWidth="1"/>
    <col min="13318" max="13318" width="13.85546875" style="54" customWidth="1"/>
    <col min="13319" max="13319" width="15.42578125" style="54" customWidth="1"/>
    <col min="13320" max="13320" width="12.5703125" style="54" customWidth="1"/>
    <col min="13321" max="13321" width="12.140625" style="54" customWidth="1"/>
    <col min="13322" max="13322" width="9.7109375" style="54" customWidth="1"/>
    <col min="13323" max="13323" width="3.28515625" style="54" customWidth="1"/>
    <col min="13324" max="13324" width="4.42578125" style="54" customWidth="1"/>
    <col min="13325" max="13566" width="9.140625" style="54" customWidth="1"/>
    <col min="13567" max="13567" width="3.7109375" style="54" customWidth="1"/>
    <col min="13568" max="13568" width="2.140625" style="54"/>
    <col min="13569" max="13569" width="4" style="54" customWidth="1"/>
    <col min="13570" max="13570" width="11.42578125" style="54" customWidth="1"/>
    <col min="13571" max="13573" width="10.7109375" style="54" customWidth="1"/>
    <col min="13574" max="13574" width="13.85546875" style="54" customWidth="1"/>
    <col min="13575" max="13575" width="15.42578125" style="54" customWidth="1"/>
    <col min="13576" max="13576" width="12.5703125" style="54" customWidth="1"/>
    <col min="13577" max="13577" width="12.140625" style="54" customWidth="1"/>
    <col min="13578" max="13578" width="9.7109375" style="54" customWidth="1"/>
    <col min="13579" max="13579" width="3.28515625" style="54" customWidth="1"/>
    <col min="13580" max="13580" width="4.42578125" style="54" customWidth="1"/>
    <col min="13581" max="13822" width="9.140625" style="54" customWidth="1"/>
    <col min="13823" max="13823" width="3.7109375" style="54" customWidth="1"/>
    <col min="13824" max="13824" width="2.140625" style="54"/>
    <col min="13825" max="13825" width="4" style="54" customWidth="1"/>
    <col min="13826" max="13826" width="11.42578125" style="54" customWidth="1"/>
    <col min="13827" max="13829" width="10.7109375" style="54" customWidth="1"/>
    <col min="13830" max="13830" width="13.85546875" style="54" customWidth="1"/>
    <col min="13831" max="13831" width="15.42578125" style="54" customWidth="1"/>
    <col min="13832" max="13832" width="12.5703125" style="54" customWidth="1"/>
    <col min="13833" max="13833" width="12.140625" style="54" customWidth="1"/>
    <col min="13834" max="13834" width="9.7109375" style="54" customWidth="1"/>
    <col min="13835" max="13835" width="3.28515625" style="54" customWidth="1"/>
    <col min="13836" max="13836" width="4.42578125" style="54" customWidth="1"/>
    <col min="13837" max="14078" width="9.140625" style="54" customWidth="1"/>
    <col min="14079" max="14079" width="3.7109375" style="54" customWidth="1"/>
    <col min="14080" max="14080" width="2.140625" style="54"/>
    <col min="14081" max="14081" width="4" style="54" customWidth="1"/>
    <col min="14082" max="14082" width="11.42578125" style="54" customWidth="1"/>
    <col min="14083" max="14085" width="10.7109375" style="54" customWidth="1"/>
    <col min="14086" max="14086" width="13.85546875" style="54" customWidth="1"/>
    <col min="14087" max="14087" width="15.42578125" style="54" customWidth="1"/>
    <col min="14088" max="14088" width="12.5703125" style="54" customWidth="1"/>
    <col min="14089" max="14089" width="12.140625" style="54" customWidth="1"/>
    <col min="14090" max="14090" width="9.7109375" style="54" customWidth="1"/>
    <col min="14091" max="14091" width="3.28515625" style="54" customWidth="1"/>
    <col min="14092" max="14092" width="4.42578125" style="54" customWidth="1"/>
    <col min="14093" max="14334" width="9.140625" style="54" customWidth="1"/>
    <col min="14335" max="14335" width="3.7109375" style="54" customWidth="1"/>
    <col min="14336" max="14336" width="2.140625" style="54"/>
    <col min="14337" max="14337" width="4" style="54" customWidth="1"/>
    <col min="14338" max="14338" width="11.42578125" style="54" customWidth="1"/>
    <col min="14339" max="14341" width="10.7109375" style="54" customWidth="1"/>
    <col min="14342" max="14342" width="13.85546875" style="54" customWidth="1"/>
    <col min="14343" max="14343" width="15.42578125" style="54" customWidth="1"/>
    <col min="14344" max="14344" width="12.5703125" style="54" customWidth="1"/>
    <col min="14345" max="14345" width="12.140625" style="54" customWidth="1"/>
    <col min="14346" max="14346" width="9.7109375" style="54" customWidth="1"/>
    <col min="14347" max="14347" width="3.28515625" style="54" customWidth="1"/>
    <col min="14348" max="14348" width="4.42578125" style="54" customWidth="1"/>
    <col min="14349" max="14590" width="9.140625" style="54" customWidth="1"/>
    <col min="14591" max="14591" width="3.7109375" style="54" customWidth="1"/>
    <col min="14592" max="14592" width="2.140625" style="54"/>
    <col min="14593" max="14593" width="4" style="54" customWidth="1"/>
    <col min="14594" max="14594" width="11.42578125" style="54" customWidth="1"/>
    <col min="14595" max="14597" width="10.7109375" style="54" customWidth="1"/>
    <col min="14598" max="14598" width="13.85546875" style="54" customWidth="1"/>
    <col min="14599" max="14599" width="15.42578125" style="54" customWidth="1"/>
    <col min="14600" max="14600" width="12.5703125" style="54" customWidth="1"/>
    <col min="14601" max="14601" width="12.140625" style="54" customWidth="1"/>
    <col min="14602" max="14602" width="9.7109375" style="54" customWidth="1"/>
    <col min="14603" max="14603" width="3.28515625" style="54" customWidth="1"/>
    <col min="14604" max="14604" width="4.42578125" style="54" customWidth="1"/>
    <col min="14605" max="14846" width="9.140625" style="54" customWidth="1"/>
    <col min="14847" max="14847" width="3.7109375" style="54" customWidth="1"/>
    <col min="14848" max="14848" width="2.140625" style="54"/>
    <col min="14849" max="14849" width="4" style="54" customWidth="1"/>
    <col min="14850" max="14850" width="11.42578125" style="54" customWidth="1"/>
    <col min="14851" max="14853" width="10.7109375" style="54" customWidth="1"/>
    <col min="14854" max="14854" width="13.85546875" style="54" customWidth="1"/>
    <col min="14855" max="14855" width="15.42578125" style="54" customWidth="1"/>
    <col min="14856" max="14856" width="12.5703125" style="54" customWidth="1"/>
    <col min="14857" max="14857" width="12.140625" style="54" customWidth="1"/>
    <col min="14858" max="14858" width="9.7109375" style="54" customWidth="1"/>
    <col min="14859" max="14859" width="3.28515625" style="54" customWidth="1"/>
    <col min="14860" max="14860" width="4.42578125" style="54" customWidth="1"/>
    <col min="14861" max="15102" width="9.140625" style="54" customWidth="1"/>
    <col min="15103" max="15103" width="3.7109375" style="54" customWidth="1"/>
    <col min="15104" max="15104" width="2.140625" style="54"/>
    <col min="15105" max="15105" width="4" style="54" customWidth="1"/>
    <col min="15106" max="15106" width="11.42578125" style="54" customWidth="1"/>
    <col min="15107" max="15109" width="10.7109375" style="54" customWidth="1"/>
    <col min="15110" max="15110" width="13.85546875" style="54" customWidth="1"/>
    <col min="15111" max="15111" width="15.42578125" style="54" customWidth="1"/>
    <col min="15112" max="15112" width="12.5703125" style="54" customWidth="1"/>
    <col min="15113" max="15113" width="12.140625" style="54" customWidth="1"/>
    <col min="15114" max="15114" width="9.7109375" style="54" customWidth="1"/>
    <col min="15115" max="15115" width="3.28515625" style="54" customWidth="1"/>
    <col min="15116" max="15116" width="4.42578125" style="54" customWidth="1"/>
    <col min="15117" max="15358" width="9.140625" style="54" customWidth="1"/>
    <col min="15359" max="15359" width="3.7109375" style="54" customWidth="1"/>
    <col min="15360" max="15360" width="2.140625" style="54"/>
    <col min="15361" max="15361" width="4" style="54" customWidth="1"/>
    <col min="15362" max="15362" width="11.42578125" style="54" customWidth="1"/>
    <col min="15363" max="15365" width="10.7109375" style="54" customWidth="1"/>
    <col min="15366" max="15366" width="13.85546875" style="54" customWidth="1"/>
    <col min="15367" max="15367" width="15.42578125" style="54" customWidth="1"/>
    <col min="15368" max="15368" width="12.5703125" style="54" customWidth="1"/>
    <col min="15369" max="15369" width="12.140625" style="54" customWidth="1"/>
    <col min="15370" max="15370" width="9.7109375" style="54" customWidth="1"/>
    <col min="15371" max="15371" width="3.28515625" style="54" customWidth="1"/>
    <col min="15372" max="15372" width="4.42578125" style="54" customWidth="1"/>
    <col min="15373" max="15614" width="9.140625" style="54" customWidth="1"/>
    <col min="15615" max="15615" width="3.7109375" style="54" customWidth="1"/>
    <col min="15616" max="15616" width="2.140625" style="54"/>
    <col min="15617" max="15617" width="4" style="54" customWidth="1"/>
    <col min="15618" max="15618" width="11.42578125" style="54" customWidth="1"/>
    <col min="15619" max="15621" width="10.7109375" style="54" customWidth="1"/>
    <col min="15622" max="15622" width="13.85546875" style="54" customWidth="1"/>
    <col min="15623" max="15623" width="15.42578125" style="54" customWidth="1"/>
    <col min="15624" max="15624" width="12.5703125" style="54" customWidth="1"/>
    <col min="15625" max="15625" width="12.140625" style="54" customWidth="1"/>
    <col min="15626" max="15626" width="9.7109375" style="54" customWidth="1"/>
    <col min="15627" max="15627" width="3.28515625" style="54" customWidth="1"/>
    <col min="15628" max="15628" width="4.42578125" style="54" customWidth="1"/>
    <col min="15629" max="15870" width="9.140625" style="54" customWidth="1"/>
    <col min="15871" max="15871" width="3.7109375" style="54" customWidth="1"/>
    <col min="15872" max="15872" width="2.140625" style="54"/>
    <col min="15873" max="15873" width="4" style="54" customWidth="1"/>
    <col min="15874" max="15874" width="11.42578125" style="54" customWidth="1"/>
    <col min="15875" max="15877" width="10.7109375" style="54" customWidth="1"/>
    <col min="15878" max="15878" width="13.85546875" style="54" customWidth="1"/>
    <col min="15879" max="15879" width="15.42578125" style="54" customWidth="1"/>
    <col min="15880" max="15880" width="12.5703125" style="54" customWidth="1"/>
    <col min="15881" max="15881" width="12.140625" style="54" customWidth="1"/>
    <col min="15882" max="15882" width="9.7109375" style="54" customWidth="1"/>
    <col min="15883" max="15883" width="3.28515625" style="54" customWidth="1"/>
    <col min="15884" max="15884" width="4.42578125" style="54" customWidth="1"/>
    <col min="15885" max="16126" width="9.140625" style="54" customWidth="1"/>
    <col min="16127" max="16127" width="3.7109375" style="54" customWidth="1"/>
    <col min="16128" max="16128" width="2.140625" style="54"/>
    <col min="16129" max="16129" width="4" style="54" customWidth="1"/>
    <col min="16130" max="16130" width="11.42578125" style="54" customWidth="1"/>
    <col min="16131" max="16133" width="10.7109375" style="54" customWidth="1"/>
    <col min="16134" max="16134" width="13.85546875" style="54" customWidth="1"/>
    <col min="16135" max="16135" width="15.42578125" style="54" customWidth="1"/>
    <col min="16136" max="16136" width="12.5703125" style="54" customWidth="1"/>
    <col min="16137" max="16137" width="12.140625" style="54" customWidth="1"/>
    <col min="16138" max="16138" width="9.7109375" style="54" customWidth="1"/>
    <col min="16139" max="16139" width="3.28515625" style="54" customWidth="1"/>
    <col min="16140" max="16140" width="4.42578125" style="54" customWidth="1"/>
    <col min="16141" max="16382" width="9.140625" style="54" customWidth="1"/>
    <col min="16383" max="16383" width="3.7109375" style="54" customWidth="1"/>
    <col min="16384" max="16384" width="2.140625" style="54"/>
  </cols>
  <sheetData>
    <row r="2" spans="2:12" ht="14.25" thickBot="1"/>
    <row r="3" spans="2:12" ht="15.75" thickTop="1">
      <c r="B3" s="95"/>
      <c r="C3" s="96" t="s">
        <v>193</v>
      </c>
      <c r="D3" s="97"/>
      <c r="E3" s="96"/>
      <c r="F3" s="96"/>
      <c r="G3" s="98"/>
      <c r="H3" s="55"/>
      <c r="I3" s="55"/>
      <c r="J3" s="56"/>
    </row>
    <row r="4" spans="2:12" ht="15">
      <c r="B4" s="99"/>
      <c r="C4" s="100" t="s">
        <v>3</v>
      </c>
      <c r="D4" s="101" t="s">
        <v>194</v>
      </c>
      <c r="E4" s="100"/>
      <c r="F4" s="102"/>
      <c r="G4" s="103"/>
      <c r="H4" s="55"/>
      <c r="I4" s="55"/>
    </row>
    <row r="5" spans="2:12" ht="15.75" thickBot="1">
      <c r="B5" s="104"/>
      <c r="C5" s="105" t="s">
        <v>48</v>
      </c>
      <c r="D5" s="106" t="s">
        <v>194</v>
      </c>
      <c r="E5" s="105"/>
      <c r="F5" s="107"/>
      <c r="G5" s="108"/>
      <c r="H5" s="55"/>
      <c r="I5" s="55"/>
    </row>
    <row r="6" spans="2:12" ht="14.25" thickTop="1"/>
    <row r="7" spans="2:12" ht="18.75">
      <c r="B7" s="304" t="s">
        <v>247</v>
      </c>
      <c r="C7" s="304"/>
      <c r="D7" s="304"/>
      <c r="E7" s="304"/>
      <c r="F7" s="304"/>
      <c r="G7" s="304"/>
      <c r="H7" s="304"/>
      <c r="I7" s="304"/>
      <c r="J7" s="304"/>
      <c r="K7" s="57"/>
      <c r="L7" s="57"/>
    </row>
    <row r="8" spans="2:12" ht="15.75" thickBot="1">
      <c r="G8" s="58"/>
      <c r="H8" s="58"/>
    </row>
    <row r="9" spans="2:12" ht="15" customHeight="1">
      <c r="B9" s="59" t="s">
        <v>196</v>
      </c>
      <c r="C9" s="60" t="s">
        <v>366</v>
      </c>
      <c r="D9" s="61"/>
      <c r="E9" s="61"/>
      <c r="F9" s="62"/>
      <c r="G9" s="63" t="s">
        <v>197</v>
      </c>
      <c r="H9" s="305" t="s">
        <v>198</v>
      </c>
      <c r="I9" s="305"/>
      <c r="J9" s="306"/>
    </row>
    <row r="10" spans="2:12" ht="15" customHeight="1">
      <c r="B10" s="64" t="s">
        <v>199</v>
      </c>
      <c r="C10" s="65" t="s">
        <v>367</v>
      </c>
      <c r="D10" s="66"/>
      <c r="E10" s="66"/>
      <c r="F10" s="67"/>
      <c r="G10" s="68" t="s">
        <v>200</v>
      </c>
      <c r="H10" s="302" t="s">
        <v>198</v>
      </c>
      <c r="I10" s="302"/>
      <c r="J10" s="303" t="s">
        <v>201</v>
      </c>
    </row>
    <row r="11" spans="2:12" ht="15" customHeight="1">
      <c r="B11" s="64" t="s">
        <v>202</v>
      </c>
      <c r="C11" s="65" t="s">
        <v>203</v>
      </c>
      <c r="D11" s="70"/>
      <c r="E11" s="70"/>
      <c r="F11" s="71"/>
      <c r="G11" s="68" t="s">
        <v>204</v>
      </c>
      <c r="H11" s="65" t="s">
        <v>198</v>
      </c>
      <c r="I11" s="65"/>
      <c r="J11" s="69"/>
    </row>
    <row r="12" spans="2:12" ht="15" customHeight="1">
      <c r="B12" s="64" t="s">
        <v>205</v>
      </c>
      <c r="C12" s="65" t="s">
        <v>368</v>
      </c>
      <c r="D12" s="66"/>
      <c r="E12" s="66"/>
      <c r="F12" s="67"/>
      <c r="G12" s="68" t="s">
        <v>206</v>
      </c>
      <c r="H12" s="302" t="s">
        <v>383</v>
      </c>
      <c r="I12" s="302"/>
      <c r="J12" s="303" t="s">
        <v>201</v>
      </c>
    </row>
    <row r="13" spans="2:12" ht="15" customHeight="1">
      <c r="B13" s="64" t="s">
        <v>207</v>
      </c>
      <c r="C13" s="65" t="s">
        <v>208</v>
      </c>
      <c r="D13" s="66"/>
      <c r="E13" s="66"/>
      <c r="F13" s="67"/>
      <c r="G13" s="68" t="s">
        <v>209</v>
      </c>
      <c r="H13" s="302" t="s">
        <v>210</v>
      </c>
      <c r="I13" s="302"/>
      <c r="J13" s="303" t="s">
        <v>201</v>
      </c>
    </row>
    <row r="14" spans="2:12" ht="15" customHeight="1">
      <c r="B14" s="72" t="s">
        <v>16</v>
      </c>
      <c r="C14" s="73" t="s">
        <v>249</v>
      </c>
      <c r="D14" s="66"/>
      <c r="E14" s="66"/>
      <c r="F14" s="67"/>
      <c r="G14" s="68" t="s">
        <v>211</v>
      </c>
      <c r="H14" s="302" t="s">
        <v>250</v>
      </c>
      <c r="I14" s="302"/>
      <c r="J14" s="303" t="s">
        <v>201</v>
      </c>
    </row>
    <row r="15" spans="2:12" ht="15" customHeight="1" thickBot="1">
      <c r="B15" s="74"/>
      <c r="C15" s="75"/>
      <c r="D15" s="307"/>
      <c r="E15" s="307"/>
      <c r="F15" s="308"/>
      <c r="G15" s="76" t="s">
        <v>213</v>
      </c>
      <c r="H15" s="309" t="s">
        <v>384</v>
      </c>
      <c r="I15" s="309"/>
      <c r="J15" s="310" t="s">
        <v>201</v>
      </c>
    </row>
    <row r="17" spans="2:10" ht="15.75" thickBot="1">
      <c r="B17" s="77" t="s">
        <v>214</v>
      </c>
      <c r="H17" s="77"/>
    </row>
    <row r="18" spans="2:10" ht="42" customHeight="1">
      <c r="B18" s="81" t="s">
        <v>215</v>
      </c>
      <c r="C18" s="311" t="s">
        <v>251</v>
      </c>
      <c r="D18" s="311"/>
      <c r="E18" s="311" t="s">
        <v>217</v>
      </c>
      <c r="F18" s="311"/>
      <c r="G18" s="311" t="s">
        <v>218</v>
      </c>
      <c r="H18" s="311"/>
      <c r="I18" s="311" t="s">
        <v>219</v>
      </c>
      <c r="J18" s="312"/>
    </row>
    <row r="19" spans="2:10" ht="12.75" customHeight="1">
      <c r="B19" s="314">
        <v>1</v>
      </c>
      <c r="C19" s="315">
        <v>0.2</v>
      </c>
      <c r="D19" s="315"/>
      <c r="E19" s="315" t="s">
        <v>220</v>
      </c>
      <c r="F19" s="315"/>
      <c r="G19" s="316" t="s">
        <v>252</v>
      </c>
      <c r="H19" s="316"/>
      <c r="I19" s="317">
        <v>0.20100000000000001</v>
      </c>
      <c r="J19" s="318"/>
    </row>
    <row r="20" spans="2:10">
      <c r="B20" s="314"/>
      <c r="C20" s="315"/>
      <c r="D20" s="315"/>
      <c r="E20" s="315"/>
      <c r="F20" s="315"/>
      <c r="G20" s="316"/>
      <c r="H20" s="316"/>
      <c r="I20" s="317"/>
      <c r="J20" s="318"/>
    </row>
    <row r="21" spans="2:10" ht="12.75" customHeight="1">
      <c r="B21" s="314">
        <v>2</v>
      </c>
      <c r="C21" s="315">
        <v>0.2</v>
      </c>
      <c r="D21" s="315"/>
      <c r="E21" s="315" t="s">
        <v>222</v>
      </c>
      <c r="F21" s="315"/>
      <c r="G21" s="316" t="s">
        <v>253</v>
      </c>
      <c r="H21" s="316"/>
      <c r="I21" s="317">
        <v>0.20100000000000001</v>
      </c>
      <c r="J21" s="318"/>
    </row>
    <row r="22" spans="2:10">
      <c r="B22" s="314"/>
      <c r="C22" s="315"/>
      <c r="D22" s="315"/>
      <c r="E22" s="315"/>
      <c r="F22" s="315"/>
      <c r="G22" s="316"/>
      <c r="H22" s="316"/>
      <c r="I22" s="317"/>
      <c r="J22" s="318"/>
    </row>
    <row r="23" spans="2:10" ht="12.75" customHeight="1">
      <c r="B23" s="314">
        <v>3</v>
      </c>
      <c r="C23" s="315">
        <v>0.2</v>
      </c>
      <c r="D23" s="315"/>
      <c r="E23" s="315" t="s">
        <v>224</v>
      </c>
      <c r="F23" s="315"/>
      <c r="G23" s="316" t="s">
        <v>254</v>
      </c>
      <c r="H23" s="316"/>
      <c r="I23" s="317">
        <v>0.20100000000000001</v>
      </c>
      <c r="J23" s="318"/>
    </row>
    <row r="24" spans="2:10" ht="14.25" thickBot="1">
      <c r="B24" s="319"/>
      <c r="C24" s="320"/>
      <c r="D24" s="320"/>
      <c r="E24" s="320"/>
      <c r="F24" s="320"/>
      <c r="G24" s="321"/>
      <c r="H24" s="321"/>
      <c r="I24" s="322"/>
      <c r="J24" s="323"/>
    </row>
    <row r="25" spans="2:10" ht="20.25" customHeight="1" thickBot="1">
      <c r="B25" s="77" t="s">
        <v>226</v>
      </c>
      <c r="D25" s="78"/>
      <c r="E25" s="78"/>
    </row>
    <row r="26" spans="2:10" ht="42" customHeight="1">
      <c r="B26" s="81" t="s">
        <v>215</v>
      </c>
      <c r="C26" s="335" t="s">
        <v>69</v>
      </c>
      <c r="D26" s="336"/>
      <c r="E26" s="335" t="s">
        <v>217</v>
      </c>
      <c r="F26" s="336"/>
      <c r="G26" s="335" t="s">
        <v>227</v>
      </c>
      <c r="H26" s="337"/>
      <c r="I26" s="313"/>
      <c r="J26" s="313"/>
    </row>
    <row r="27" spans="2:10" ht="12.75" customHeight="1">
      <c r="B27" s="325">
        <v>1</v>
      </c>
      <c r="C27" s="327">
        <v>0</v>
      </c>
      <c r="D27" s="328"/>
      <c r="E27" s="327" t="s">
        <v>220</v>
      </c>
      <c r="F27" s="328"/>
      <c r="G27" s="357">
        <v>3.5000000000000003E-2</v>
      </c>
      <c r="H27" s="358"/>
      <c r="I27" s="324"/>
      <c r="J27" s="324"/>
    </row>
    <row r="28" spans="2:10">
      <c r="B28" s="326"/>
      <c r="C28" s="329"/>
      <c r="D28" s="330"/>
      <c r="E28" s="329"/>
      <c r="F28" s="330"/>
      <c r="G28" s="359"/>
      <c r="H28" s="360"/>
      <c r="I28" s="324"/>
      <c r="J28" s="324"/>
    </row>
    <row r="29" spans="2:10" ht="12.75" customHeight="1">
      <c r="B29" s="325">
        <v>2</v>
      </c>
      <c r="C29" s="327">
        <v>0</v>
      </c>
      <c r="D29" s="328"/>
      <c r="E29" s="327" t="s">
        <v>222</v>
      </c>
      <c r="F29" s="328"/>
      <c r="G29" s="357">
        <v>3.6999999999999998E-2</v>
      </c>
      <c r="H29" s="358"/>
      <c r="I29" s="324"/>
      <c r="J29" s="324"/>
    </row>
    <row r="30" spans="2:10">
      <c r="B30" s="326"/>
      <c r="C30" s="329"/>
      <c r="D30" s="330"/>
      <c r="E30" s="329"/>
      <c r="F30" s="330"/>
      <c r="G30" s="359"/>
      <c r="H30" s="360"/>
      <c r="I30" s="324"/>
      <c r="J30" s="324"/>
    </row>
    <row r="31" spans="2:10" ht="12.75" customHeight="1">
      <c r="B31" s="325">
        <v>3</v>
      </c>
      <c r="C31" s="327">
        <v>0</v>
      </c>
      <c r="D31" s="328"/>
      <c r="E31" s="327" t="s">
        <v>224</v>
      </c>
      <c r="F31" s="328"/>
      <c r="G31" s="357">
        <v>3.5000000000000003E-2</v>
      </c>
      <c r="H31" s="358"/>
      <c r="I31" s="324"/>
      <c r="J31" s="324"/>
    </row>
    <row r="32" spans="2:10" ht="14.25" thickBot="1">
      <c r="B32" s="341"/>
      <c r="C32" s="342"/>
      <c r="D32" s="343"/>
      <c r="E32" s="342"/>
      <c r="F32" s="343"/>
      <c r="G32" s="361"/>
      <c r="H32" s="362"/>
      <c r="I32" s="324"/>
      <c r="J32" s="324"/>
    </row>
    <row r="33" spans="2:10" ht="20.25" customHeight="1" thickBot="1">
      <c r="B33" s="77" t="s">
        <v>228</v>
      </c>
      <c r="D33" s="78"/>
      <c r="E33" s="78"/>
    </row>
    <row r="34" spans="2:10" ht="12.75" customHeight="1">
      <c r="B34" s="338" t="s">
        <v>215</v>
      </c>
      <c r="C34" s="311" t="s">
        <v>229</v>
      </c>
      <c r="D34" s="311" t="s">
        <v>230</v>
      </c>
      <c r="E34" s="311" t="s">
        <v>231</v>
      </c>
      <c r="F34" s="311"/>
      <c r="G34" s="311" t="s">
        <v>232</v>
      </c>
      <c r="H34" s="311" t="s">
        <v>233</v>
      </c>
      <c r="I34" s="311"/>
      <c r="J34" s="346" t="s">
        <v>234</v>
      </c>
    </row>
    <row r="35" spans="2:10" ht="13.5" customHeight="1" thickBot="1">
      <c r="B35" s="339"/>
      <c r="C35" s="340"/>
      <c r="D35" s="340"/>
      <c r="E35" s="340"/>
      <c r="F35" s="340"/>
      <c r="G35" s="340"/>
      <c r="H35" s="340"/>
      <c r="I35" s="340"/>
      <c r="J35" s="347"/>
    </row>
    <row r="36" spans="2:10" ht="30" customHeight="1">
      <c r="B36" s="82">
        <v>1</v>
      </c>
      <c r="C36" s="83" t="s">
        <v>235</v>
      </c>
      <c r="D36" s="84" t="s">
        <v>77</v>
      </c>
      <c r="E36" s="348" t="s">
        <v>252</v>
      </c>
      <c r="F36" s="348"/>
      <c r="G36" s="84" t="s">
        <v>236</v>
      </c>
      <c r="H36" s="315" t="s">
        <v>46</v>
      </c>
      <c r="I36" s="315"/>
      <c r="J36" s="89" t="s">
        <v>239</v>
      </c>
    </row>
    <row r="37" spans="2:10" ht="30" customHeight="1">
      <c r="B37" s="86">
        <v>2</v>
      </c>
      <c r="C37" s="87" t="s">
        <v>235</v>
      </c>
      <c r="D37" s="88" t="s">
        <v>78</v>
      </c>
      <c r="E37" s="348" t="s">
        <v>253</v>
      </c>
      <c r="F37" s="348"/>
      <c r="G37" s="88" t="s">
        <v>238</v>
      </c>
      <c r="H37" s="348" t="s">
        <v>237</v>
      </c>
      <c r="I37" s="348"/>
      <c r="J37" s="85"/>
    </row>
    <row r="38" spans="2:10" ht="30" customHeight="1">
      <c r="B38" s="86">
        <v>3</v>
      </c>
      <c r="C38" s="87" t="s">
        <v>235</v>
      </c>
      <c r="D38" s="88" t="s">
        <v>79</v>
      </c>
      <c r="E38" s="348" t="s">
        <v>254</v>
      </c>
      <c r="F38" s="348"/>
      <c r="G38" s="88" t="s">
        <v>240</v>
      </c>
      <c r="H38" s="315" t="s">
        <v>46</v>
      </c>
      <c r="I38" s="315"/>
      <c r="J38" s="89" t="s">
        <v>239</v>
      </c>
    </row>
    <row r="39" spans="2:10" ht="30" customHeight="1">
      <c r="B39" s="86">
        <v>4</v>
      </c>
      <c r="C39" s="90" t="s">
        <v>241</v>
      </c>
      <c r="D39" s="88"/>
      <c r="E39" s="315"/>
      <c r="F39" s="315"/>
      <c r="G39" s="88"/>
      <c r="H39" s="315"/>
      <c r="I39" s="315"/>
      <c r="J39" s="89"/>
    </row>
    <row r="40" spans="2:10" ht="30" customHeight="1">
      <c r="B40" s="86">
        <v>5</v>
      </c>
      <c r="C40" s="90" t="s">
        <v>241</v>
      </c>
      <c r="D40" s="88"/>
      <c r="E40" s="315"/>
      <c r="F40" s="315"/>
      <c r="G40" s="88"/>
      <c r="H40" s="315"/>
      <c r="I40" s="315"/>
      <c r="J40" s="89"/>
    </row>
    <row r="41" spans="2:10" ht="30" customHeight="1" thickBot="1">
      <c r="B41" s="91">
        <v>6</v>
      </c>
      <c r="C41" s="92" t="s">
        <v>241</v>
      </c>
      <c r="D41" s="93"/>
      <c r="E41" s="320"/>
      <c r="F41" s="320"/>
      <c r="G41" s="93"/>
      <c r="H41" s="320"/>
      <c r="I41" s="320"/>
      <c r="J41" s="94"/>
    </row>
    <row r="42" spans="2:10" ht="14.25" thickBot="1">
      <c r="B42" s="79"/>
      <c r="C42" s="79"/>
      <c r="D42" s="79"/>
      <c r="E42" s="79"/>
      <c r="F42" s="79"/>
      <c r="G42" s="79"/>
      <c r="H42" s="79"/>
      <c r="I42" s="79"/>
      <c r="J42" s="79"/>
    </row>
    <row r="43" spans="2:10" ht="15.75" thickTop="1">
      <c r="B43" s="125" t="s">
        <v>242</v>
      </c>
      <c r="C43" s="126"/>
      <c r="D43" s="127"/>
      <c r="E43" s="126"/>
      <c r="F43" s="128"/>
      <c r="G43" s="128"/>
      <c r="H43" s="128"/>
      <c r="I43" s="128"/>
      <c r="J43" s="129"/>
    </row>
    <row r="44" spans="2:10" ht="15">
      <c r="B44" s="130" t="s">
        <v>243</v>
      </c>
      <c r="C44" s="131"/>
      <c r="D44" s="132"/>
      <c r="E44" s="131"/>
      <c r="F44" s="133"/>
      <c r="G44" s="133"/>
      <c r="H44" s="133"/>
      <c r="I44" s="133"/>
      <c r="J44" s="134"/>
    </row>
    <row r="45" spans="2:10" ht="15">
      <c r="B45" s="130"/>
      <c r="C45" s="131"/>
      <c r="D45" s="132"/>
      <c r="E45" s="131"/>
      <c r="F45" s="133"/>
      <c r="G45" s="133"/>
      <c r="H45" s="133"/>
      <c r="I45" s="133"/>
      <c r="J45" s="134"/>
    </row>
    <row r="46" spans="2:10" ht="15">
      <c r="B46" s="130"/>
      <c r="C46" s="131"/>
      <c r="D46" s="132"/>
      <c r="E46" s="131"/>
      <c r="F46" s="133"/>
      <c r="G46" s="133"/>
      <c r="H46" s="133"/>
      <c r="I46" s="133"/>
      <c r="J46" s="134"/>
    </row>
    <row r="47" spans="2:10" ht="15.75" thickBot="1">
      <c r="B47" s="135"/>
      <c r="C47" s="136"/>
      <c r="D47" s="137"/>
      <c r="E47" s="136"/>
      <c r="F47" s="138"/>
      <c r="G47" s="138"/>
      <c r="H47" s="138"/>
      <c r="I47" s="138"/>
      <c r="J47" s="139"/>
    </row>
    <row r="48" spans="2:10" ht="14.25" thickTop="1"/>
    <row r="49" spans="2:10" ht="14.25" thickBot="1">
      <c r="B49" s="79"/>
      <c r="C49" s="79"/>
      <c r="D49" s="79"/>
      <c r="E49" s="79"/>
      <c r="F49" s="79"/>
      <c r="G49" s="79"/>
      <c r="H49" s="79"/>
      <c r="I49" s="79"/>
      <c r="J49" s="79"/>
    </row>
    <row r="50" spans="2:10" ht="15">
      <c r="B50" s="109"/>
      <c r="C50" s="110"/>
      <c r="D50" s="110"/>
      <c r="E50" s="110"/>
      <c r="F50" s="111"/>
      <c r="G50" s="112"/>
      <c r="H50" s="110"/>
      <c r="I50" s="110"/>
      <c r="J50" s="113"/>
    </row>
    <row r="51" spans="2:10" ht="15">
      <c r="B51" s="352" t="s">
        <v>244</v>
      </c>
      <c r="C51" s="353"/>
      <c r="D51" s="353"/>
      <c r="E51" s="353"/>
      <c r="F51" s="114"/>
      <c r="G51" s="352" t="s">
        <v>245</v>
      </c>
      <c r="H51" s="353"/>
      <c r="I51" s="353"/>
      <c r="J51" s="363"/>
    </row>
    <row r="52" spans="2:10" ht="15">
      <c r="B52" s="115"/>
      <c r="C52" s="78"/>
      <c r="D52" s="116"/>
      <c r="E52" s="58"/>
      <c r="F52" s="117"/>
      <c r="G52" s="115"/>
      <c r="H52" s="78"/>
      <c r="I52" s="78"/>
      <c r="J52" s="117"/>
    </row>
    <row r="53" spans="2:10" ht="15">
      <c r="B53" s="118">
        <v>1</v>
      </c>
      <c r="C53" s="119" t="s">
        <v>286</v>
      </c>
      <c r="D53" s="116"/>
      <c r="E53" s="58"/>
      <c r="F53" s="117"/>
      <c r="G53" s="115"/>
      <c r="H53" s="78"/>
      <c r="I53" s="78"/>
      <c r="J53" s="117"/>
    </row>
    <row r="54" spans="2:10" ht="15">
      <c r="B54" s="120">
        <v>2</v>
      </c>
      <c r="C54" s="80" t="s">
        <v>21</v>
      </c>
      <c r="D54" s="116"/>
      <c r="E54" s="58"/>
      <c r="F54" s="117"/>
      <c r="G54" s="115"/>
      <c r="H54" s="78"/>
      <c r="I54" s="78"/>
      <c r="J54" s="117"/>
    </row>
    <row r="55" spans="2:10" ht="15">
      <c r="B55" s="120">
        <v>3</v>
      </c>
      <c r="C55" s="80" t="s">
        <v>246</v>
      </c>
      <c r="D55" s="116"/>
      <c r="E55" s="58"/>
      <c r="F55" s="117"/>
      <c r="G55" s="115"/>
      <c r="H55" s="78"/>
      <c r="I55" s="78"/>
      <c r="J55" s="117"/>
    </row>
    <row r="56" spans="2:10" ht="15">
      <c r="B56" s="120">
        <v>4</v>
      </c>
      <c r="C56" s="80"/>
      <c r="D56" s="116"/>
      <c r="E56" s="58"/>
      <c r="F56" s="117"/>
      <c r="G56" s="115"/>
      <c r="H56" s="78"/>
      <c r="I56" s="58"/>
      <c r="J56" s="117"/>
    </row>
    <row r="57" spans="2:10" ht="15">
      <c r="B57" s="120">
        <v>5</v>
      </c>
      <c r="C57" s="78"/>
      <c r="D57" s="78"/>
      <c r="E57" s="58"/>
      <c r="F57" s="117"/>
      <c r="G57" s="115"/>
      <c r="H57" s="78"/>
      <c r="I57" s="78"/>
      <c r="J57" s="117"/>
    </row>
    <row r="58" spans="2:10" ht="15">
      <c r="B58" s="120">
        <v>6</v>
      </c>
      <c r="C58" s="78"/>
      <c r="D58" s="116"/>
      <c r="E58" s="58"/>
      <c r="F58" s="117"/>
      <c r="G58" s="349" t="s">
        <v>287</v>
      </c>
      <c r="H58" s="350"/>
      <c r="I58" s="350"/>
      <c r="J58" s="351"/>
    </row>
    <row r="59" spans="2:10" ht="15.75" thickBot="1">
      <c r="B59" s="121"/>
      <c r="C59" s="122"/>
      <c r="D59" s="122"/>
      <c r="E59" s="122"/>
      <c r="F59" s="123"/>
      <c r="G59" s="124"/>
      <c r="H59" s="122"/>
      <c r="I59" s="122"/>
      <c r="J59" s="123"/>
    </row>
  </sheetData>
  <mergeCells count="68">
    <mergeCell ref="G58:J58"/>
    <mergeCell ref="E40:F40"/>
    <mergeCell ref="H40:I40"/>
    <mergeCell ref="E41:F41"/>
    <mergeCell ref="H41:I41"/>
    <mergeCell ref="B51:E51"/>
    <mergeCell ref="G51:J51"/>
    <mergeCell ref="E37:F37"/>
    <mergeCell ref="H37:I37"/>
    <mergeCell ref="E38:F38"/>
    <mergeCell ref="H38:I38"/>
    <mergeCell ref="E39:F39"/>
    <mergeCell ref="H39:I39"/>
    <mergeCell ref="I31:J32"/>
    <mergeCell ref="H34:I35"/>
    <mergeCell ref="J34:J35"/>
    <mergeCell ref="E36:F36"/>
    <mergeCell ref="H36:I36"/>
    <mergeCell ref="C26:D26"/>
    <mergeCell ref="E26:F26"/>
    <mergeCell ref="G26:H26"/>
    <mergeCell ref="B34:B35"/>
    <mergeCell ref="C34:C35"/>
    <mergeCell ref="D34:D35"/>
    <mergeCell ref="E34:F35"/>
    <mergeCell ref="G34:G35"/>
    <mergeCell ref="B31:B32"/>
    <mergeCell ref="C31:D32"/>
    <mergeCell ref="E31:F32"/>
    <mergeCell ref="G31:H32"/>
    <mergeCell ref="B27:B28"/>
    <mergeCell ref="C27:D28"/>
    <mergeCell ref="E27:F28"/>
    <mergeCell ref="G27:H28"/>
    <mergeCell ref="I27:J28"/>
    <mergeCell ref="B29:B30"/>
    <mergeCell ref="C29:D30"/>
    <mergeCell ref="E29:F30"/>
    <mergeCell ref="G29:H30"/>
    <mergeCell ref="I29:J30"/>
    <mergeCell ref="I26:J26"/>
    <mergeCell ref="B19:B20"/>
    <mergeCell ref="C19:D20"/>
    <mergeCell ref="E19:F20"/>
    <mergeCell ref="G19:H20"/>
    <mergeCell ref="I19:J20"/>
    <mergeCell ref="B21:B22"/>
    <mergeCell ref="C21:D22"/>
    <mergeCell ref="E21:F22"/>
    <mergeCell ref="G21:H22"/>
    <mergeCell ref="I21:J22"/>
    <mergeCell ref="B23:B24"/>
    <mergeCell ref="C23:D24"/>
    <mergeCell ref="E23:F24"/>
    <mergeCell ref="G23:H24"/>
    <mergeCell ref="I23:J24"/>
    <mergeCell ref="D15:F15"/>
    <mergeCell ref="H15:J15"/>
    <mergeCell ref="C18:D18"/>
    <mergeCell ref="E18:F18"/>
    <mergeCell ref="G18:H18"/>
    <mergeCell ref="I18:J18"/>
    <mergeCell ref="H14:J14"/>
    <mergeCell ref="B7:J7"/>
    <mergeCell ref="H9:J9"/>
    <mergeCell ref="H10:J10"/>
    <mergeCell ref="H12:J12"/>
    <mergeCell ref="H13:J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E75A-7BE0-49EF-A6FA-F48D96C42070}">
  <dimension ref="B1:AJ79"/>
  <sheetViews>
    <sheetView view="pageBreakPreview" topLeftCell="A41" zoomScale="90" zoomScaleNormal="100" zoomScaleSheetLayoutView="90" workbookViewId="0">
      <selection activeCell="N54" sqref="N54"/>
    </sheetView>
  </sheetViews>
  <sheetFormatPr defaultColWidth="8.85546875" defaultRowHeight="16.899999999999999" customHeight="1"/>
  <cols>
    <col min="1" max="1" width="4.28515625" style="17" customWidth="1"/>
    <col min="2" max="11" width="3.7109375" style="17" customWidth="1"/>
    <col min="12" max="12" width="6.28515625" style="17" customWidth="1"/>
    <col min="13" max="107" width="3.7109375" style="17" customWidth="1"/>
    <col min="108" max="16384" width="8.85546875" style="17"/>
  </cols>
  <sheetData>
    <row r="1" spans="2:33" ht="16.899999999999999" customHeight="1" thickBot="1"/>
    <row r="2" spans="2:33" ht="16.899999999999999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3" ht="16.899999999999999" customHeight="1">
      <c r="B3" s="21"/>
      <c r="C3" s="22"/>
      <c r="D3" s="23"/>
      <c r="E3" s="24" t="s">
        <v>47</v>
      </c>
      <c r="F3" s="24"/>
      <c r="G3" s="2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5"/>
      <c r="AG3" s="26"/>
    </row>
    <row r="4" spans="2:33" ht="16.899999999999999" customHeight="1">
      <c r="B4" s="21"/>
      <c r="C4" s="27"/>
      <c r="E4" s="224" t="s">
        <v>3</v>
      </c>
      <c r="F4" s="224"/>
      <c r="G4" s="29" t="s">
        <v>4</v>
      </c>
      <c r="H4" s="225" t="s">
        <v>5</v>
      </c>
      <c r="I4" s="225"/>
      <c r="J4" s="225"/>
      <c r="K4" s="225"/>
      <c r="L4" s="225"/>
      <c r="M4" s="225"/>
      <c r="N4" s="225"/>
      <c r="O4" s="225"/>
      <c r="P4" s="225"/>
      <c r="AF4" s="30"/>
      <c r="AG4" s="26"/>
    </row>
    <row r="5" spans="2:33" ht="16.899999999999999" customHeight="1">
      <c r="B5" s="21"/>
      <c r="C5" s="31"/>
      <c r="D5" s="32"/>
      <c r="E5" s="226" t="s">
        <v>48</v>
      </c>
      <c r="F5" s="226"/>
      <c r="G5" s="33" t="s">
        <v>4</v>
      </c>
      <c r="H5" s="364" t="s">
        <v>5</v>
      </c>
      <c r="I5" s="364"/>
      <c r="J5" s="364"/>
      <c r="K5" s="364"/>
      <c r="L5" s="364"/>
      <c r="M5" s="364"/>
      <c r="N5" s="364"/>
      <c r="O5" s="364"/>
      <c r="P5" s="364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4"/>
      <c r="AG5" s="26"/>
    </row>
    <row r="6" spans="2:33" ht="16.899999999999999" customHeight="1">
      <c r="B6" s="21"/>
      <c r="E6" s="45"/>
      <c r="F6" s="45"/>
      <c r="H6" s="35"/>
      <c r="I6" s="35"/>
      <c r="J6" s="35"/>
      <c r="K6" s="35"/>
      <c r="L6" s="35"/>
      <c r="M6" s="35"/>
      <c r="N6" s="35"/>
      <c r="O6" s="35"/>
      <c r="P6" s="35"/>
      <c r="AG6" s="26"/>
    </row>
    <row r="7" spans="2:33" ht="16.899999999999999" customHeight="1">
      <c r="B7" s="21"/>
      <c r="C7" s="29">
        <v>2</v>
      </c>
      <c r="D7" s="29"/>
      <c r="E7" s="29" t="s">
        <v>126</v>
      </c>
      <c r="F7" s="45"/>
      <c r="H7" s="35"/>
      <c r="I7" s="35"/>
      <c r="J7" s="35"/>
      <c r="K7" s="35"/>
      <c r="L7" s="35"/>
      <c r="M7" s="35"/>
      <c r="N7" s="35"/>
      <c r="O7" s="35"/>
      <c r="P7" s="35"/>
      <c r="AG7" s="26"/>
    </row>
    <row r="8" spans="2:33" ht="16.899999999999999" customHeight="1" thickBot="1">
      <c r="B8" s="21"/>
      <c r="C8" s="29"/>
      <c r="D8" s="29"/>
      <c r="E8" s="29"/>
      <c r="F8" s="45"/>
      <c r="H8" s="35"/>
      <c r="I8" s="35"/>
      <c r="J8" s="35"/>
      <c r="K8" s="35"/>
      <c r="L8" s="35"/>
      <c r="M8" s="35"/>
      <c r="N8" s="35"/>
      <c r="O8" s="35"/>
      <c r="P8" s="35"/>
      <c r="AG8" s="26"/>
    </row>
    <row r="9" spans="2:33" ht="16.899999999999999" customHeight="1">
      <c r="B9" s="21"/>
      <c r="C9" s="29"/>
      <c r="D9" s="29"/>
      <c r="E9" s="365" t="s">
        <v>127</v>
      </c>
      <c r="F9" s="366"/>
      <c r="G9" s="366"/>
      <c r="H9" s="366"/>
      <c r="I9" s="366"/>
      <c r="J9" s="366"/>
      <c r="K9" s="46" t="s">
        <v>4</v>
      </c>
      <c r="L9" s="367">
        <v>0.7</v>
      </c>
      <c r="M9" s="286"/>
      <c r="N9" s="286"/>
      <c r="O9" s="286" t="s">
        <v>128</v>
      </c>
      <c r="P9" s="287"/>
      <c r="AG9" s="26"/>
    </row>
    <row r="10" spans="2:33" ht="16.899999999999999" customHeight="1">
      <c r="B10" s="21"/>
      <c r="C10" s="29"/>
      <c r="D10" s="29"/>
      <c r="E10" s="371" t="s">
        <v>129</v>
      </c>
      <c r="F10" s="372"/>
      <c r="G10" s="372"/>
      <c r="H10" s="372"/>
      <c r="I10" s="372"/>
      <c r="J10" s="372"/>
      <c r="K10" s="47" t="s">
        <v>4</v>
      </c>
      <c r="L10" s="373">
        <v>0.34</v>
      </c>
      <c r="M10" s="294"/>
      <c r="N10" s="294"/>
      <c r="O10" s="294"/>
      <c r="P10" s="374"/>
      <c r="AG10" s="26"/>
    </row>
    <row r="11" spans="2:33" ht="16.899999999999999" customHeight="1">
      <c r="B11" s="21"/>
      <c r="E11" s="371" t="s">
        <v>130</v>
      </c>
      <c r="F11" s="372"/>
      <c r="G11" s="372"/>
      <c r="H11" s="372"/>
      <c r="I11" s="372"/>
      <c r="J11" s="372"/>
      <c r="K11" s="47" t="s">
        <v>4</v>
      </c>
      <c r="L11" s="373">
        <v>0.46</v>
      </c>
      <c r="M11" s="294"/>
      <c r="N11" s="294"/>
      <c r="O11" s="294" t="s">
        <v>128</v>
      </c>
      <c r="P11" s="374"/>
      <c r="AG11" s="26"/>
    </row>
    <row r="12" spans="2:33" ht="16.899999999999999" customHeight="1" thickBot="1">
      <c r="B12" s="21"/>
      <c r="E12" s="368" t="s">
        <v>131</v>
      </c>
      <c r="F12" s="369"/>
      <c r="G12" s="369"/>
      <c r="H12" s="369"/>
      <c r="I12" s="369"/>
      <c r="J12" s="369"/>
      <c r="K12" s="48" t="s">
        <v>4</v>
      </c>
      <c r="L12" s="370">
        <v>0.36</v>
      </c>
      <c r="M12" s="292"/>
      <c r="N12" s="292"/>
      <c r="O12" s="292"/>
      <c r="P12" s="293"/>
      <c r="AG12" s="26"/>
    </row>
    <row r="13" spans="2:33" ht="16.899999999999999" customHeight="1">
      <c r="B13" s="21"/>
      <c r="AG13" s="26"/>
    </row>
    <row r="14" spans="2:33" ht="16.899999999999999" customHeight="1">
      <c r="B14" s="21"/>
      <c r="C14" s="29" t="s">
        <v>132</v>
      </c>
      <c r="D14" s="29"/>
      <c r="E14" s="29" t="s">
        <v>133</v>
      </c>
      <c r="AG14" s="49"/>
    </row>
    <row r="15" spans="2:33" ht="16.899999999999999" customHeight="1" thickBot="1">
      <c r="B15" s="21"/>
      <c r="AG15" s="26"/>
    </row>
    <row r="16" spans="2:33" ht="37.15" customHeight="1" thickBot="1">
      <c r="B16" s="21"/>
      <c r="E16" s="384" t="s">
        <v>134</v>
      </c>
      <c r="F16" s="230"/>
      <c r="G16" s="230"/>
      <c r="H16" s="230"/>
      <c r="I16" s="230" t="s">
        <v>135</v>
      </c>
      <c r="J16" s="230"/>
      <c r="K16" s="230"/>
      <c r="L16" s="230"/>
      <c r="M16" s="231" t="s">
        <v>136</v>
      </c>
      <c r="N16" s="231"/>
      <c r="O16" s="231"/>
      <c r="P16" s="231"/>
      <c r="Q16" s="231"/>
      <c r="R16" s="231" t="s">
        <v>137</v>
      </c>
      <c r="S16" s="231"/>
      <c r="T16" s="231"/>
      <c r="U16" s="231"/>
      <c r="V16" s="231"/>
      <c r="W16" s="231" t="s">
        <v>138</v>
      </c>
      <c r="X16" s="231"/>
      <c r="Y16" s="231"/>
      <c r="Z16" s="231"/>
      <c r="AA16" s="231"/>
      <c r="AB16" s="231" t="s">
        <v>139</v>
      </c>
      <c r="AC16" s="231"/>
      <c r="AD16" s="231"/>
      <c r="AE16" s="231"/>
      <c r="AF16" s="235"/>
      <c r="AG16" s="26"/>
    </row>
    <row r="17" spans="2:33" ht="16.899999999999999" customHeight="1">
      <c r="B17" s="21"/>
      <c r="E17" s="236" t="s">
        <v>140</v>
      </c>
      <c r="F17" s="237"/>
      <c r="G17" s="237"/>
      <c r="H17" s="237"/>
      <c r="I17" s="375" t="s">
        <v>141</v>
      </c>
      <c r="J17" s="375"/>
      <c r="K17" s="375"/>
      <c r="L17" s="375"/>
      <c r="M17" s="376">
        <v>0.70099999999999996</v>
      </c>
      <c r="N17" s="377"/>
      <c r="O17" s="377"/>
      <c r="P17" s="377"/>
      <c r="Q17" s="377"/>
      <c r="R17" s="377">
        <v>0.70099999999999996</v>
      </c>
      <c r="S17" s="377"/>
      <c r="T17" s="377"/>
      <c r="U17" s="377"/>
      <c r="V17" s="377"/>
      <c r="W17" s="377">
        <v>0.70099999999999996</v>
      </c>
      <c r="X17" s="377"/>
      <c r="Y17" s="377"/>
      <c r="Z17" s="377"/>
      <c r="AA17" s="377"/>
      <c r="AB17" s="377">
        <v>0.46100000000000002</v>
      </c>
      <c r="AC17" s="377"/>
      <c r="AD17" s="377"/>
      <c r="AE17" s="377"/>
      <c r="AF17" s="378"/>
      <c r="AG17" s="26"/>
    </row>
    <row r="18" spans="2:33" ht="16.899999999999999" customHeight="1">
      <c r="B18" s="21"/>
      <c r="E18" s="246"/>
      <c r="F18" s="247"/>
      <c r="G18" s="247"/>
      <c r="H18" s="247"/>
      <c r="I18" s="379" t="s">
        <v>142</v>
      </c>
      <c r="J18" s="379"/>
      <c r="K18" s="379"/>
      <c r="L18" s="379"/>
      <c r="M18" s="380">
        <f>IFERROR(((M17-$L$9)/$L$9),0)</f>
        <v>1.4285714285714299E-3</v>
      </c>
      <c r="N18" s="380"/>
      <c r="O18" s="380"/>
      <c r="P18" s="380"/>
      <c r="Q18" s="380"/>
      <c r="R18" s="380">
        <f t="shared" ref="R18" si="0">IFERROR(((R17-$L$9)/$L$9),0)</f>
        <v>1.4285714285714299E-3</v>
      </c>
      <c r="S18" s="380"/>
      <c r="T18" s="380"/>
      <c r="U18" s="380"/>
      <c r="V18" s="380"/>
      <c r="W18" s="380">
        <f>IFERROR(((W17-$L$9)/$L$9),0)</f>
        <v>1.4285714285714299E-3</v>
      </c>
      <c r="X18" s="380"/>
      <c r="Y18" s="380"/>
      <c r="Z18" s="380"/>
      <c r="AA18" s="380"/>
      <c r="AB18" s="380">
        <f>IFERROR(((AB17-$L$11)/$L$11),0)</f>
        <v>2.1739130434782626E-3</v>
      </c>
      <c r="AC18" s="380"/>
      <c r="AD18" s="380"/>
      <c r="AE18" s="380"/>
      <c r="AF18" s="381"/>
      <c r="AG18" s="50">
        <f>COUNTIF(M19:AF19,6)</f>
        <v>0</v>
      </c>
    </row>
    <row r="19" spans="2:33" ht="16.899999999999999" customHeight="1">
      <c r="B19" s="21"/>
      <c r="E19" s="246"/>
      <c r="F19" s="247"/>
      <c r="G19" s="247"/>
      <c r="H19" s="247"/>
      <c r="I19" s="379" t="s">
        <v>56</v>
      </c>
      <c r="J19" s="379"/>
      <c r="K19" s="379"/>
      <c r="L19" s="379"/>
      <c r="M19" s="382">
        <f>IF((ABS(M18)&lt;=0.05),9,IF((ABS(M18)&lt;=0.1),6,1))</f>
        <v>9</v>
      </c>
      <c r="N19" s="382"/>
      <c r="O19" s="382"/>
      <c r="P19" s="382"/>
      <c r="Q19" s="382"/>
      <c r="R19" s="382">
        <f t="shared" ref="R19" si="1">IF((ABS(R18)&lt;=0.05),9,IF((ABS(R18)&lt;=0.1),6,1))</f>
        <v>9</v>
      </c>
      <c r="S19" s="382"/>
      <c r="T19" s="382"/>
      <c r="U19" s="382"/>
      <c r="V19" s="382"/>
      <c r="W19" s="382">
        <f>IF((ABS(W18)&lt;=0.05),9,IF((ABS(W18)&lt;=0.1),6,1))</f>
        <v>9</v>
      </c>
      <c r="X19" s="382"/>
      <c r="Y19" s="382"/>
      <c r="Z19" s="382"/>
      <c r="AA19" s="382"/>
      <c r="AB19" s="382">
        <f>IF((ABS(AB18)&lt;=0.05),9,IF((ABS(AB18)&lt;=0.1),6,1))</f>
        <v>9</v>
      </c>
      <c r="AC19" s="382"/>
      <c r="AD19" s="382"/>
      <c r="AE19" s="382"/>
      <c r="AF19" s="383"/>
      <c r="AG19" s="50">
        <f>COUNTIF(M19:AF19,1)</f>
        <v>0</v>
      </c>
    </row>
    <row r="20" spans="2:33" ht="16.899999999999999" customHeight="1">
      <c r="B20" s="21"/>
      <c r="E20" s="246" t="s">
        <v>143</v>
      </c>
      <c r="F20" s="247"/>
      <c r="G20" s="247"/>
      <c r="H20" s="247"/>
      <c r="I20" s="379" t="s">
        <v>141</v>
      </c>
      <c r="J20" s="379"/>
      <c r="K20" s="379"/>
      <c r="L20" s="379"/>
      <c r="M20" s="392">
        <v>0.68500000000000005</v>
      </c>
      <c r="N20" s="393"/>
      <c r="O20" s="393"/>
      <c r="P20" s="393"/>
      <c r="Q20" s="393"/>
      <c r="R20" s="393">
        <v>0.68500000000000005</v>
      </c>
      <c r="S20" s="393"/>
      <c r="T20" s="393"/>
      <c r="U20" s="393"/>
      <c r="V20" s="393"/>
      <c r="W20" s="393">
        <v>0.68500000000000005</v>
      </c>
      <c r="X20" s="393"/>
      <c r="Y20" s="393"/>
      <c r="Z20" s="393"/>
      <c r="AA20" s="393"/>
      <c r="AB20" s="393">
        <v>0.45</v>
      </c>
      <c r="AC20" s="393"/>
      <c r="AD20" s="393"/>
      <c r="AE20" s="393"/>
      <c r="AF20" s="394"/>
      <c r="AG20" s="26"/>
    </row>
    <row r="21" spans="2:33" ht="16.899999999999999" customHeight="1">
      <c r="B21" s="21"/>
      <c r="E21" s="246"/>
      <c r="F21" s="247"/>
      <c r="G21" s="247"/>
      <c r="H21" s="247"/>
      <c r="I21" s="379" t="s">
        <v>144</v>
      </c>
      <c r="J21" s="379"/>
      <c r="K21" s="379"/>
      <c r="L21" s="379"/>
      <c r="M21" s="380">
        <f>IFERROR((M20/M17),0)</f>
        <v>0.97717546362339525</v>
      </c>
      <c r="N21" s="380"/>
      <c r="O21" s="380"/>
      <c r="P21" s="380"/>
      <c r="Q21" s="380"/>
      <c r="R21" s="380">
        <f t="shared" ref="R21" si="2">IFERROR((R20/R17),0)</f>
        <v>0.97717546362339525</v>
      </c>
      <c r="S21" s="380"/>
      <c r="T21" s="380"/>
      <c r="U21" s="380"/>
      <c r="V21" s="380"/>
      <c r="W21" s="380">
        <f>IFERROR((W20/W17),0)</f>
        <v>0.97717546362339525</v>
      </c>
      <c r="X21" s="380"/>
      <c r="Y21" s="380"/>
      <c r="Z21" s="380"/>
      <c r="AA21" s="380"/>
      <c r="AB21" s="380">
        <f>IFERROR((AB20/AB17),0)</f>
        <v>0.97613882863340562</v>
      </c>
      <c r="AC21" s="380"/>
      <c r="AD21" s="380"/>
      <c r="AE21" s="380"/>
      <c r="AF21" s="381"/>
      <c r="AG21" s="50">
        <f>COUNTIF(M22:AF22,6)</f>
        <v>0</v>
      </c>
    </row>
    <row r="22" spans="2:33" ht="16.899999999999999" customHeight="1" thickBot="1">
      <c r="B22" s="21"/>
      <c r="E22" s="257"/>
      <c r="F22" s="258"/>
      <c r="G22" s="258"/>
      <c r="H22" s="258"/>
      <c r="I22" s="390" t="s">
        <v>56</v>
      </c>
      <c r="J22" s="390"/>
      <c r="K22" s="390"/>
      <c r="L22" s="390"/>
      <c r="M22" s="391">
        <f>IF((ABS(M21)&gt;=0.95),9,IF((ABS(M21)&gt;=0.9),6,IF((ABS(M21)=0),9,1)))</f>
        <v>9</v>
      </c>
      <c r="N22" s="391"/>
      <c r="O22" s="391"/>
      <c r="P22" s="391"/>
      <c r="Q22" s="391"/>
      <c r="R22" s="391">
        <f t="shared" ref="R22" si="3">IF((ABS(R21)&gt;=0.95),9,IF((ABS(R21)&gt;=0.9),6,IF((ABS(R21)=0),9,1)))</f>
        <v>9</v>
      </c>
      <c r="S22" s="391"/>
      <c r="T22" s="391"/>
      <c r="U22" s="391"/>
      <c r="V22" s="391"/>
      <c r="W22" s="391">
        <f t="shared" ref="W22" si="4">IF((ABS(W21)&gt;=0.95),9,IF((ABS(W21)&gt;=0.9),6,IF((ABS(W21)=0),9,1)))</f>
        <v>9</v>
      </c>
      <c r="X22" s="391"/>
      <c r="Y22" s="391"/>
      <c r="Z22" s="391"/>
      <c r="AA22" s="391"/>
      <c r="AB22" s="391">
        <f t="shared" ref="AB22" si="5">IF((ABS(AB21)&gt;=0.95),9,IF((ABS(AB21)&gt;=0.9),6,IF((ABS(AB21)=0),9,1)))</f>
        <v>9</v>
      </c>
      <c r="AC22" s="391"/>
      <c r="AD22" s="391"/>
      <c r="AE22" s="391"/>
      <c r="AF22" s="391"/>
      <c r="AG22" s="50">
        <f>COUNTIF(M22:AF22,1)</f>
        <v>0</v>
      </c>
    </row>
    <row r="23" spans="2:33" ht="16.899999999999999" customHeight="1">
      <c r="B23" s="21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G23" s="26"/>
    </row>
    <row r="24" spans="2:33" ht="16.899999999999999" customHeight="1">
      <c r="B24" s="21"/>
      <c r="E24" s="385" t="s">
        <v>145</v>
      </c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387"/>
      <c r="S24" s="388">
        <f>MIN(M19:AF19,M22:AF22)</f>
        <v>9</v>
      </c>
      <c r="T24" s="389"/>
      <c r="U24" s="389"/>
      <c r="V24" s="389"/>
      <c r="AG24" s="26"/>
    </row>
    <row r="25" spans="2:33" ht="16.899999999999999" customHeight="1">
      <c r="B25" s="21"/>
      <c r="AG25" s="26"/>
    </row>
    <row r="26" spans="2:33" ht="16.899999999999999" customHeight="1">
      <c r="B26" s="21"/>
      <c r="C26" s="29" t="s">
        <v>146</v>
      </c>
      <c r="D26" s="29"/>
      <c r="E26" s="29" t="s">
        <v>147</v>
      </c>
      <c r="AG26" s="26"/>
    </row>
    <row r="27" spans="2:33" ht="16.899999999999999" customHeight="1" thickBot="1">
      <c r="B27" s="21"/>
      <c r="AG27" s="26"/>
    </row>
    <row r="28" spans="2:33" ht="37.15" customHeight="1" thickBot="1">
      <c r="B28" s="21"/>
      <c r="E28" s="384" t="s">
        <v>148</v>
      </c>
      <c r="F28" s="230"/>
      <c r="G28" s="230"/>
      <c r="H28" s="230"/>
      <c r="I28" s="230" t="s">
        <v>135</v>
      </c>
      <c r="J28" s="230"/>
      <c r="K28" s="230"/>
      <c r="L28" s="230"/>
      <c r="M28" s="231" t="s">
        <v>149</v>
      </c>
      <c r="N28" s="231"/>
      <c r="O28" s="231"/>
      <c r="P28" s="231"/>
      <c r="Q28" s="231"/>
      <c r="R28" s="231" t="s">
        <v>150</v>
      </c>
      <c r="S28" s="231"/>
      <c r="T28" s="231"/>
      <c r="U28" s="231"/>
      <c r="V28" s="231"/>
      <c r="W28" s="231" t="s">
        <v>151</v>
      </c>
      <c r="X28" s="231"/>
      <c r="Y28" s="231"/>
      <c r="Z28" s="231"/>
      <c r="AA28" s="231"/>
      <c r="AB28" s="231" t="s">
        <v>152</v>
      </c>
      <c r="AC28" s="231"/>
      <c r="AD28" s="231"/>
      <c r="AE28" s="231"/>
      <c r="AF28" s="235"/>
      <c r="AG28" s="26"/>
    </row>
    <row r="29" spans="2:33" ht="16.899999999999999" customHeight="1">
      <c r="B29" s="21"/>
      <c r="E29" s="236" t="s">
        <v>153</v>
      </c>
      <c r="F29" s="237"/>
      <c r="G29" s="237"/>
      <c r="H29" s="237"/>
      <c r="I29" s="375" t="s">
        <v>154</v>
      </c>
      <c r="J29" s="375"/>
      <c r="K29" s="375"/>
      <c r="L29" s="375"/>
      <c r="M29" s="395">
        <f>1.5*$L$9</f>
        <v>1.0499999999999998</v>
      </c>
      <c r="N29" s="395"/>
      <c r="O29" s="395"/>
      <c r="P29" s="395"/>
      <c r="Q29" s="395"/>
      <c r="R29" s="395">
        <f>2*$L$9</f>
        <v>1.4</v>
      </c>
      <c r="S29" s="395"/>
      <c r="T29" s="395"/>
      <c r="U29" s="395"/>
      <c r="V29" s="395"/>
      <c r="W29" s="395">
        <f>2.5*$L$9</f>
        <v>1.75</v>
      </c>
      <c r="X29" s="395"/>
      <c r="Y29" s="395"/>
      <c r="Z29" s="395"/>
      <c r="AA29" s="395"/>
      <c r="AB29" s="395">
        <f>3*$L$9</f>
        <v>2.0999999999999996</v>
      </c>
      <c r="AC29" s="395"/>
      <c r="AD29" s="395"/>
      <c r="AE29" s="395"/>
      <c r="AF29" s="396"/>
      <c r="AG29" s="26"/>
    </row>
    <row r="30" spans="2:33" ht="16.899999999999999" customHeight="1">
      <c r="B30" s="21"/>
      <c r="E30" s="246"/>
      <c r="F30" s="247"/>
      <c r="G30" s="247"/>
      <c r="H30" s="247"/>
      <c r="I30" s="379" t="s">
        <v>155</v>
      </c>
      <c r="J30" s="379"/>
      <c r="K30" s="379"/>
      <c r="L30" s="379"/>
      <c r="M30" s="397">
        <f>0.14*$L$10/(((M29/$L$9)^0.02)-1)</f>
        <v>5.8460344073191868</v>
      </c>
      <c r="N30" s="397"/>
      <c r="O30" s="397"/>
      <c r="P30" s="397"/>
      <c r="Q30" s="397"/>
      <c r="R30" s="397">
        <f t="shared" ref="R30" si="6">0.14*$L$10/(((R29/$L$9)^0.02)-1)</f>
        <v>3.4098691868159365</v>
      </c>
      <c r="S30" s="397"/>
      <c r="T30" s="397"/>
      <c r="U30" s="397"/>
      <c r="V30" s="397"/>
      <c r="W30" s="397">
        <f t="shared" ref="W30" si="7">0.14*$L$10/(((W29/$L$9)^0.02)-1)</f>
        <v>2.5737015616819523</v>
      </c>
      <c r="X30" s="397"/>
      <c r="Y30" s="397"/>
      <c r="Z30" s="397"/>
      <c r="AA30" s="397"/>
      <c r="AB30" s="397">
        <f t="shared" ref="AB30" si="8">0.14*$L$10/(((AB29/$L$9)^0.02)-1)</f>
        <v>2.1426565152454855</v>
      </c>
      <c r="AC30" s="397"/>
      <c r="AD30" s="397"/>
      <c r="AE30" s="397"/>
      <c r="AF30" s="398"/>
      <c r="AG30" s="26"/>
    </row>
    <row r="31" spans="2:33" ht="16.899999999999999" customHeight="1">
      <c r="B31" s="21"/>
      <c r="E31" s="246"/>
      <c r="F31" s="247"/>
      <c r="G31" s="247"/>
      <c r="H31" s="247"/>
      <c r="I31" s="379" t="s">
        <v>156</v>
      </c>
      <c r="J31" s="379"/>
      <c r="K31" s="379"/>
      <c r="L31" s="379"/>
      <c r="M31" s="399" t="s">
        <v>46</v>
      </c>
      <c r="N31" s="400"/>
      <c r="O31" s="400"/>
      <c r="P31" s="400"/>
      <c r="Q31" s="401"/>
      <c r="R31" s="399">
        <v>3.431</v>
      </c>
      <c r="S31" s="400"/>
      <c r="T31" s="400"/>
      <c r="U31" s="400"/>
      <c r="V31" s="401"/>
      <c r="W31" s="399" t="s">
        <v>46</v>
      </c>
      <c r="X31" s="400"/>
      <c r="Y31" s="400"/>
      <c r="Z31" s="400"/>
      <c r="AA31" s="401"/>
      <c r="AB31" s="399">
        <v>2.161</v>
      </c>
      <c r="AC31" s="400"/>
      <c r="AD31" s="400"/>
      <c r="AE31" s="400"/>
      <c r="AF31" s="402"/>
      <c r="AG31" s="26"/>
    </row>
    <row r="32" spans="2:33" ht="16.899999999999999" customHeight="1">
      <c r="B32" s="21"/>
      <c r="E32" s="246"/>
      <c r="F32" s="247"/>
      <c r="G32" s="247"/>
      <c r="H32" s="247"/>
      <c r="I32" s="379" t="s">
        <v>142</v>
      </c>
      <c r="J32" s="379"/>
      <c r="K32" s="379"/>
      <c r="L32" s="379"/>
      <c r="M32" s="380">
        <f>IFERROR(((M31-M30)/M30),0)</f>
        <v>0</v>
      </c>
      <c r="N32" s="380"/>
      <c r="O32" s="380"/>
      <c r="P32" s="380"/>
      <c r="Q32" s="380"/>
      <c r="R32" s="380">
        <f t="shared" ref="R32" si="9">IFERROR(((R31-R30)/R30),0)</f>
        <v>6.1969571342398088E-3</v>
      </c>
      <c r="S32" s="380"/>
      <c r="T32" s="380"/>
      <c r="U32" s="380"/>
      <c r="V32" s="380"/>
      <c r="W32" s="380">
        <f t="shared" ref="W32" si="10">IFERROR(((W31-W30)/W30),0)</f>
        <v>0</v>
      </c>
      <c r="X32" s="380"/>
      <c r="Y32" s="380"/>
      <c r="Z32" s="380"/>
      <c r="AA32" s="380"/>
      <c r="AB32" s="380">
        <f>IFERROR(((AB31-AB30)/AB30),0)</f>
        <v>8.5610944283400006E-3</v>
      </c>
      <c r="AC32" s="380"/>
      <c r="AD32" s="380"/>
      <c r="AE32" s="380"/>
      <c r="AF32" s="381"/>
      <c r="AG32" s="26"/>
    </row>
    <row r="33" spans="2:33" ht="16.899999999999999" customHeight="1">
      <c r="B33" s="21"/>
      <c r="E33" s="246" t="s">
        <v>157</v>
      </c>
      <c r="F33" s="247"/>
      <c r="G33" s="247"/>
      <c r="H33" s="247"/>
      <c r="I33" s="379" t="s">
        <v>154</v>
      </c>
      <c r="J33" s="379"/>
      <c r="K33" s="379"/>
      <c r="L33" s="379"/>
      <c r="M33" s="397">
        <f>1.5*$L$9</f>
        <v>1.0499999999999998</v>
      </c>
      <c r="N33" s="397"/>
      <c r="O33" s="397"/>
      <c r="P33" s="397"/>
      <c r="Q33" s="397"/>
      <c r="R33" s="397">
        <f>2*$L$9</f>
        <v>1.4</v>
      </c>
      <c r="S33" s="397"/>
      <c r="T33" s="397"/>
      <c r="U33" s="397"/>
      <c r="V33" s="397"/>
      <c r="W33" s="397">
        <f>2.5*$L$9</f>
        <v>1.75</v>
      </c>
      <c r="X33" s="397"/>
      <c r="Y33" s="397"/>
      <c r="Z33" s="397"/>
      <c r="AA33" s="397"/>
      <c r="AB33" s="397">
        <f>3*$L$9</f>
        <v>2.0999999999999996</v>
      </c>
      <c r="AC33" s="397"/>
      <c r="AD33" s="397"/>
      <c r="AE33" s="397"/>
      <c r="AF33" s="398"/>
      <c r="AG33" s="50">
        <f>COUNTIF(L33:AF33,1)</f>
        <v>0</v>
      </c>
    </row>
    <row r="34" spans="2:33" ht="16.899999999999999" customHeight="1">
      <c r="B34" s="21"/>
      <c r="E34" s="246"/>
      <c r="F34" s="247"/>
      <c r="G34" s="247"/>
      <c r="H34" s="247"/>
      <c r="I34" s="379" t="s">
        <v>155</v>
      </c>
      <c r="J34" s="379"/>
      <c r="K34" s="379"/>
      <c r="L34" s="379"/>
      <c r="M34" s="397">
        <f>0.14*$L$10/(((M33/$L$9)^0.02)-1)</f>
        <v>5.8460344073191868</v>
      </c>
      <c r="N34" s="397"/>
      <c r="O34" s="397"/>
      <c r="P34" s="397"/>
      <c r="Q34" s="397"/>
      <c r="R34" s="397">
        <f t="shared" ref="R34" si="11">0.14*$L$10/(((R33/$L$9)^0.02)-1)</f>
        <v>3.4098691868159365</v>
      </c>
      <c r="S34" s="397"/>
      <c r="T34" s="397"/>
      <c r="U34" s="397"/>
      <c r="V34" s="397"/>
      <c r="W34" s="397">
        <f t="shared" ref="W34" si="12">0.14*$L$10/(((W33/$L$9)^0.02)-1)</f>
        <v>2.5737015616819523</v>
      </c>
      <c r="X34" s="397"/>
      <c r="Y34" s="397"/>
      <c r="Z34" s="397"/>
      <c r="AA34" s="397"/>
      <c r="AB34" s="397">
        <f t="shared" ref="AB34" si="13">0.14*$L$10/(((AB33/$L$9)^0.02)-1)</f>
        <v>2.1426565152454855</v>
      </c>
      <c r="AC34" s="397"/>
      <c r="AD34" s="397"/>
      <c r="AE34" s="397"/>
      <c r="AF34" s="398"/>
      <c r="AG34" s="50"/>
    </row>
    <row r="35" spans="2:33" ht="16.899999999999999" customHeight="1">
      <c r="B35" s="21"/>
      <c r="E35" s="246"/>
      <c r="F35" s="247"/>
      <c r="G35" s="247"/>
      <c r="H35" s="247"/>
      <c r="I35" s="379" t="s">
        <v>156</v>
      </c>
      <c r="J35" s="379"/>
      <c r="K35" s="379"/>
      <c r="L35" s="379"/>
      <c r="M35" s="399" t="s">
        <v>46</v>
      </c>
      <c r="N35" s="400"/>
      <c r="O35" s="400"/>
      <c r="P35" s="400"/>
      <c r="Q35" s="401"/>
      <c r="R35" s="399">
        <v>3.4340000000000002</v>
      </c>
      <c r="S35" s="400"/>
      <c r="T35" s="400"/>
      <c r="U35" s="400"/>
      <c r="V35" s="401"/>
      <c r="W35" s="399" t="s">
        <v>46</v>
      </c>
      <c r="X35" s="400"/>
      <c r="Y35" s="400"/>
      <c r="Z35" s="400"/>
      <c r="AA35" s="401"/>
      <c r="AB35" s="399">
        <v>2.165</v>
      </c>
      <c r="AC35" s="400"/>
      <c r="AD35" s="400"/>
      <c r="AE35" s="400"/>
      <c r="AF35" s="402"/>
      <c r="AG35" s="50"/>
    </row>
    <row r="36" spans="2:33" ht="16.899999999999999" customHeight="1">
      <c r="B36" s="21"/>
      <c r="E36" s="246"/>
      <c r="F36" s="247"/>
      <c r="G36" s="247"/>
      <c r="H36" s="247"/>
      <c r="I36" s="379" t="s">
        <v>142</v>
      </c>
      <c r="J36" s="379"/>
      <c r="K36" s="379"/>
      <c r="L36" s="379"/>
      <c r="M36" s="380">
        <f>IFERROR(((M35-M34)/M34),0)</f>
        <v>0</v>
      </c>
      <c r="N36" s="380"/>
      <c r="O36" s="380"/>
      <c r="P36" s="380"/>
      <c r="Q36" s="380"/>
      <c r="R36" s="380">
        <f t="shared" ref="R36" si="14">IFERROR(((R35-R34)/R34),0)</f>
        <v>7.0767562806702466E-3</v>
      </c>
      <c r="S36" s="380"/>
      <c r="T36" s="380"/>
      <c r="U36" s="380"/>
      <c r="V36" s="380"/>
      <c r="W36" s="380">
        <f t="shared" ref="W36" si="15">IFERROR(((W35-W34)/W34),0)</f>
        <v>0</v>
      </c>
      <c r="X36" s="380"/>
      <c r="Y36" s="380"/>
      <c r="Z36" s="380"/>
      <c r="AA36" s="380"/>
      <c r="AB36" s="380">
        <f>IFERROR(((AB35-AB34)/AB34),0)</f>
        <v>1.0427935880312867E-2</v>
      </c>
      <c r="AC36" s="380"/>
      <c r="AD36" s="380"/>
      <c r="AE36" s="380"/>
      <c r="AF36" s="381"/>
      <c r="AG36" s="50"/>
    </row>
    <row r="37" spans="2:33" ht="16.899999999999999" customHeight="1">
      <c r="B37" s="21"/>
      <c r="E37" s="246" t="s">
        <v>158</v>
      </c>
      <c r="F37" s="247"/>
      <c r="G37" s="247"/>
      <c r="H37" s="247"/>
      <c r="I37" s="379" t="s">
        <v>154</v>
      </c>
      <c r="J37" s="379"/>
      <c r="K37" s="379"/>
      <c r="L37" s="379"/>
      <c r="M37" s="397">
        <f>1.5*$L$9</f>
        <v>1.0499999999999998</v>
      </c>
      <c r="N37" s="397"/>
      <c r="O37" s="397"/>
      <c r="P37" s="397"/>
      <c r="Q37" s="397"/>
      <c r="R37" s="397">
        <f>2*$L$9</f>
        <v>1.4</v>
      </c>
      <c r="S37" s="397"/>
      <c r="T37" s="397"/>
      <c r="U37" s="397"/>
      <c r="V37" s="397"/>
      <c r="W37" s="397">
        <f>2.5*$L$9</f>
        <v>1.75</v>
      </c>
      <c r="X37" s="397"/>
      <c r="Y37" s="397"/>
      <c r="Z37" s="397"/>
      <c r="AA37" s="397"/>
      <c r="AB37" s="397">
        <f>3*$L$9</f>
        <v>2.0999999999999996</v>
      </c>
      <c r="AC37" s="397"/>
      <c r="AD37" s="397"/>
      <c r="AE37" s="397"/>
      <c r="AF37" s="398"/>
      <c r="AG37" s="50"/>
    </row>
    <row r="38" spans="2:33" ht="16.899999999999999" customHeight="1">
      <c r="B38" s="21"/>
      <c r="E38" s="246"/>
      <c r="F38" s="247"/>
      <c r="G38" s="247"/>
      <c r="H38" s="247"/>
      <c r="I38" s="379" t="s">
        <v>155</v>
      </c>
      <c r="J38" s="379"/>
      <c r="K38" s="379"/>
      <c r="L38" s="379"/>
      <c r="M38" s="397">
        <f>0.14*$L$10/(((M37/$L$9)^0.02)-1)</f>
        <v>5.8460344073191868</v>
      </c>
      <c r="N38" s="397"/>
      <c r="O38" s="397"/>
      <c r="P38" s="397"/>
      <c r="Q38" s="397"/>
      <c r="R38" s="397">
        <f t="shared" ref="R38" si="16">0.14*$L$10/(((R37/$L$9)^0.02)-1)</f>
        <v>3.4098691868159365</v>
      </c>
      <c r="S38" s="397"/>
      <c r="T38" s="397"/>
      <c r="U38" s="397"/>
      <c r="V38" s="397"/>
      <c r="W38" s="397">
        <f t="shared" ref="W38" si="17">0.14*$L$10/(((W37/$L$9)^0.02)-1)</f>
        <v>2.5737015616819523</v>
      </c>
      <c r="X38" s="397"/>
      <c r="Y38" s="397"/>
      <c r="Z38" s="397"/>
      <c r="AA38" s="397"/>
      <c r="AB38" s="397">
        <f t="shared" ref="AB38" si="18">0.14*$L$10/(((AB37/$L$9)^0.02)-1)</f>
        <v>2.1426565152454855</v>
      </c>
      <c r="AC38" s="397"/>
      <c r="AD38" s="397"/>
      <c r="AE38" s="397"/>
      <c r="AF38" s="398"/>
      <c r="AG38" s="50"/>
    </row>
    <row r="39" spans="2:33" ht="16.899999999999999" customHeight="1">
      <c r="B39" s="21"/>
      <c r="E39" s="246"/>
      <c r="F39" s="247"/>
      <c r="G39" s="247"/>
      <c r="H39" s="247"/>
      <c r="I39" s="379" t="s">
        <v>156</v>
      </c>
      <c r="J39" s="379"/>
      <c r="K39" s="379"/>
      <c r="L39" s="379"/>
      <c r="M39" s="392" t="s">
        <v>46</v>
      </c>
      <c r="N39" s="393"/>
      <c r="O39" s="393"/>
      <c r="P39" s="393"/>
      <c r="Q39" s="393"/>
      <c r="R39" s="393">
        <v>3.43</v>
      </c>
      <c r="S39" s="393"/>
      <c r="T39" s="393"/>
      <c r="U39" s="393"/>
      <c r="V39" s="393"/>
      <c r="W39" s="393" t="s">
        <v>46</v>
      </c>
      <c r="X39" s="393"/>
      <c r="Y39" s="393"/>
      <c r="Z39" s="393"/>
      <c r="AA39" s="393"/>
      <c r="AB39" s="393">
        <v>2.1619999999999999</v>
      </c>
      <c r="AC39" s="393"/>
      <c r="AD39" s="393"/>
      <c r="AE39" s="393"/>
      <c r="AF39" s="394"/>
      <c r="AG39" s="50"/>
    </row>
    <row r="40" spans="2:33" ht="16.899999999999999" customHeight="1">
      <c r="B40" s="21"/>
      <c r="E40" s="246"/>
      <c r="F40" s="247"/>
      <c r="G40" s="247"/>
      <c r="H40" s="247"/>
      <c r="I40" s="379" t="s">
        <v>142</v>
      </c>
      <c r="J40" s="379"/>
      <c r="K40" s="379"/>
      <c r="L40" s="379"/>
      <c r="M40" s="380">
        <f>IFERROR(((M39-M38)/M38),0)</f>
        <v>0</v>
      </c>
      <c r="N40" s="380"/>
      <c r="O40" s="380"/>
      <c r="P40" s="380"/>
      <c r="Q40" s="380"/>
      <c r="R40" s="380">
        <f t="shared" ref="R40" si="19">IFERROR(((R39-R38)/R38),0)</f>
        <v>5.9036907520963727E-3</v>
      </c>
      <c r="S40" s="380"/>
      <c r="T40" s="380"/>
      <c r="U40" s="380"/>
      <c r="V40" s="380"/>
      <c r="W40" s="380">
        <f t="shared" ref="W40" si="20">IFERROR(((W39-W38)/W38),0)</f>
        <v>0</v>
      </c>
      <c r="X40" s="380"/>
      <c r="Y40" s="380"/>
      <c r="Z40" s="380"/>
      <c r="AA40" s="380"/>
      <c r="AB40" s="380">
        <f>IFERROR(((AB39-AB38)/AB38),0)</f>
        <v>9.027804791333166E-3</v>
      </c>
      <c r="AC40" s="380"/>
      <c r="AD40" s="380"/>
      <c r="AE40" s="380"/>
      <c r="AF40" s="381"/>
      <c r="AG40" s="50"/>
    </row>
    <row r="41" spans="2:33" ht="16.899999999999999" customHeight="1">
      <c r="B41" s="21"/>
      <c r="E41" s="246" t="s">
        <v>139</v>
      </c>
      <c r="F41" s="247"/>
      <c r="G41" s="247"/>
      <c r="H41" s="247"/>
      <c r="I41" s="379" t="s">
        <v>154</v>
      </c>
      <c r="J41" s="379"/>
      <c r="K41" s="379"/>
      <c r="L41" s="379"/>
      <c r="M41" s="397">
        <f>1.5*$L$11</f>
        <v>0.69000000000000006</v>
      </c>
      <c r="N41" s="397"/>
      <c r="O41" s="397"/>
      <c r="P41" s="397"/>
      <c r="Q41" s="397"/>
      <c r="R41" s="397">
        <f>2*$L$11</f>
        <v>0.92</v>
      </c>
      <c r="S41" s="397"/>
      <c r="T41" s="397"/>
      <c r="U41" s="397"/>
      <c r="V41" s="397"/>
      <c r="W41" s="397">
        <f>2.5*$L$11</f>
        <v>1.1500000000000001</v>
      </c>
      <c r="X41" s="397"/>
      <c r="Y41" s="397"/>
      <c r="Z41" s="397"/>
      <c r="AA41" s="397"/>
      <c r="AB41" s="397">
        <f>3*$L$11</f>
        <v>1.3800000000000001</v>
      </c>
      <c r="AC41" s="397"/>
      <c r="AD41" s="397"/>
      <c r="AE41" s="397"/>
      <c r="AF41" s="398"/>
      <c r="AG41" s="50">
        <f>COUNTIF(L41:AF41,1)</f>
        <v>0</v>
      </c>
    </row>
    <row r="42" spans="2:33" ht="16.899999999999999" customHeight="1">
      <c r="B42" s="21"/>
      <c r="E42" s="246"/>
      <c r="F42" s="247"/>
      <c r="G42" s="247"/>
      <c r="H42" s="247"/>
      <c r="I42" s="379" t="s">
        <v>155</v>
      </c>
      <c r="J42" s="379"/>
      <c r="K42" s="379"/>
      <c r="L42" s="379"/>
      <c r="M42" s="397">
        <f>0.14*$L$12/(((M41/$L$11)^0.02)-1)</f>
        <v>6.1899187842203141</v>
      </c>
      <c r="N42" s="397"/>
      <c r="O42" s="397"/>
      <c r="P42" s="397"/>
      <c r="Q42" s="397"/>
      <c r="R42" s="397">
        <f t="shared" ref="R42" si="21">0.14*$L$12/(((R41/$L$11)^0.02)-1)</f>
        <v>3.6104497272168734</v>
      </c>
      <c r="S42" s="397"/>
      <c r="T42" s="397"/>
      <c r="U42" s="397"/>
      <c r="V42" s="397"/>
      <c r="W42" s="397">
        <f t="shared" ref="W42" si="22">0.14*$L$12/(((W41/$L$11)^0.02)-1)</f>
        <v>2.7250957711926547</v>
      </c>
      <c r="X42" s="397"/>
      <c r="Y42" s="397"/>
      <c r="Z42" s="397"/>
      <c r="AA42" s="397"/>
      <c r="AB42" s="397">
        <f t="shared" ref="AB42" si="23">0.14*$L$12/(((AB41/$L$11)^0.02)-1)</f>
        <v>2.2686951337893371</v>
      </c>
      <c r="AC42" s="397"/>
      <c r="AD42" s="397"/>
      <c r="AE42" s="397"/>
      <c r="AF42" s="398"/>
      <c r="AG42" s="50"/>
    </row>
    <row r="43" spans="2:33" ht="16.899999999999999" customHeight="1">
      <c r="B43" s="21"/>
      <c r="E43" s="246"/>
      <c r="F43" s="247"/>
      <c r="G43" s="247"/>
      <c r="H43" s="247"/>
      <c r="I43" s="379" t="s">
        <v>156</v>
      </c>
      <c r="J43" s="379"/>
      <c r="K43" s="379"/>
      <c r="L43" s="379"/>
      <c r="M43" s="392" t="s">
        <v>46</v>
      </c>
      <c r="N43" s="393"/>
      <c r="O43" s="393"/>
      <c r="P43" s="393"/>
      <c r="Q43" s="393"/>
      <c r="R43" s="393">
        <v>3.63</v>
      </c>
      <c r="S43" s="393"/>
      <c r="T43" s="393"/>
      <c r="U43" s="393"/>
      <c r="V43" s="393"/>
      <c r="W43" s="393" t="s">
        <v>46</v>
      </c>
      <c r="X43" s="393"/>
      <c r="Y43" s="393"/>
      <c r="Z43" s="393"/>
      <c r="AA43" s="393"/>
      <c r="AB43" s="393">
        <v>2.2869999999999999</v>
      </c>
      <c r="AC43" s="393"/>
      <c r="AD43" s="393"/>
      <c r="AE43" s="393"/>
      <c r="AF43" s="394"/>
      <c r="AG43" s="50"/>
    </row>
    <row r="44" spans="2:33" ht="16.899999999999999" customHeight="1">
      <c r="B44" s="21"/>
      <c r="E44" s="246"/>
      <c r="F44" s="247"/>
      <c r="G44" s="247"/>
      <c r="H44" s="247"/>
      <c r="I44" s="379" t="s">
        <v>142</v>
      </c>
      <c r="J44" s="379"/>
      <c r="K44" s="379"/>
      <c r="L44" s="379"/>
      <c r="M44" s="380">
        <f>IFERROR(((M43-M42)/M42),0)</f>
        <v>0</v>
      </c>
      <c r="N44" s="380"/>
      <c r="O44" s="380"/>
      <c r="P44" s="380"/>
      <c r="Q44" s="380"/>
      <c r="R44" s="380">
        <f t="shared" ref="R44" si="24">IFERROR(((R43-R42)/R42),0)</f>
        <v>5.4149134485240091E-3</v>
      </c>
      <c r="S44" s="380"/>
      <c r="T44" s="380"/>
      <c r="U44" s="380"/>
      <c r="V44" s="380"/>
      <c r="W44" s="380">
        <f t="shared" ref="W44" si="25">IFERROR(((W43-W42)/W42),0)</f>
        <v>0</v>
      </c>
      <c r="X44" s="380"/>
      <c r="Y44" s="380"/>
      <c r="Z44" s="380"/>
      <c r="AA44" s="380"/>
      <c r="AB44" s="380">
        <f>IFERROR(((AB43-AB42)/AB42),0)</f>
        <v>8.0684557118473436E-3</v>
      </c>
      <c r="AC44" s="380"/>
      <c r="AD44" s="380"/>
      <c r="AE44" s="380"/>
      <c r="AF44" s="381"/>
      <c r="AG44" s="50"/>
    </row>
    <row r="45" spans="2:33" ht="16.899999999999999" customHeight="1">
      <c r="B45" s="21"/>
      <c r="E45" s="246" t="s">
        <v>159</v>
      </c>
      <c r="F45" s="247"/>
      <c r="G45" s="247"/>
      <c r="H45" s="247"/>
      <c r="I45" s="247"/>
      <c r="J45" s="247"/>
      <c r="K45" s="247"/>
      <c r="L45" s="247"/>
      <c r="M45" s="380">
        <f>MAX(ABS(M32),ABS(M36),ABS(M40),ABS(M44))</f>
        <v>0</v>
      </c>
      <c r="N45" s="380"/>
      <c r="O45" s="380"/>
      <c r="P45" s="380"/>
      <c r="Q45" s="380"/>
      <c r="R45" s="380">
        <f t="shared" ref="R45" si="26">MAX(ABS(R32),ABS(R36),ABS(R40),ABS(R44))</f>
        <v>7.0767562806702466E-3</v>
      </c>
      <c r="S45" s="380"/>
      <c r="T45" s="380"/>
      <c r="U45" s="380"/>
      <c r="V45" s="380"/>
      <c r="W45" s="380">
        <f t="shared" ref="W45" si="27">MAX(ABS(W32),ABS(W36),ABS(W40),ABS(W44))</f>
        <v>0</v>
      </c>
      <c r="X45" s="380"/>
      <c r="Y45" s="380"/>
      <c r="Z45" s="380"/>
      <c r="AA45" s="380"/>
      <c r="AB45" s="380">
        <f t="shared" ref="AB45" si="28">MAX(ABS(AB32),ABS(AB36),ABS(AB40),ABS(AB44))</f>
        <v>1.0427935880312867E-2</v>
      </c>
      <c r="AC45" s="380"/>
      <c r="AD45" s="380"/>
      <c r="AE45" s="380"/>
      <c r="AF45" s="381"/>
      <c r="AG45" s="50"/>
    </row>
    <row r="46" spans="2:33" ht="16.899999999999999" customHeight="1" thickBot="1">
      <c r="B46" s="21"/>
      <c r="E46" s="257" t="s">
        <v>160</v>
      </c>
      <c r="F46" s="258"/>
      <c r="G46" s="258"/>
      <c r="H46" s="258"/>
      <c r="I46" s="258"/>
      <c r="J46" s="258"/>
      <c r="K46" s="258"/>
      <c r="L46" s="258"/>
      <c r="M46" s="391">
        <f>IF((ABS(M45)&lt;=0.05),9,IF((ABS(M45)&lt;=0.1),6,1))</f>
        <v>9</v>
      </c>
      <c r="N46" s="391"/>
      <c r="O46" s="391"/>
      <c r="P46" s="391"/>
      <c r="Q46" s="391"/>
      <c r="R46" s="391">
        <f t="shared" ref="R46" si="29">IF((ABS(R45)&lt;=0.05),9,IF((ABS(R45)&lt;=0.1),6,1))</f>
        <v>9</v>
      </c>
      <c r="S46" s="391"/>
      <c r="T46" s="391"/>
      <c r="U46" s="391"/>
      <c r="V46" s="391"/>
      <c r="W46" s="391">
        <f t="shared" ref="W46" si="30">IF((ABS(W45)&lt;=0.05),9,IF((ABS(W45)&lt;=0.1),6,1))</f>
        <v>9</v>
      </c>
      <c r="X46" s="391"/>
      <c r="Y46" s="391"/>
      <c r="Z46" s="391"/>
      <c r="AA46" s="391"/>
      <c r="AB46" s="391">
        <f t="shared" ref="AB46" si="31">IF((ABS(AB45)&lt;=0.05),9,IF((ABS(AB45)&lt;=0.1),6,1))</f>
        <v>9</v>
      </c>
      <c r="AC46" s="391"/>
      <c r="AD46" s="391"/>
      <c r="AE46" s="391"/>
      <c r="AF46" s="403"/>
      <c r="AG46" s="50"/>
    </row>
    <row r="47" spans="2:33" ht="16.899999999999999" customHeight="1">
      <c r="B47" s="21"/>
      <c r="AG47" s="26"/>
    </row>
    <row r="48" spans="2:33" ht="16.899999999999999" customHeight="1">
      <c r="B48" s="21"/>
      <c r="E48" s="253" t="s">
        <v>161</v>
      </c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5"/>
      <c r="S48" s="388">
        <f>MIN(M46:AF46)</f>
        <v>9</v>
      </c>
      <c r="T48" s="389"/>
      <c r="U48" s="389"/>
      <c r="V48" s="389"/>
      <c r="AG48" s="26"/>
    </row>
    <row r="49" spans="2:36" ht="16.899999999999999" customHeight="1">
      <c r="B49" s="21"/>
      <c r="AG49" s="26"/>
    </row>
    <row r="50" spans="2:36" ht="16.899999999999999" customHeight="1">
      <c r="B50" s="21"/>
      <c r="C50" s="29" t="s">
        <v>162</v>
      </c>
      <c r="D50" s="29"/>
      <c r="E50" s="29" t="s">
        <v>163</v>
      </c>
      <c r="AG50" s="26"/>
      <c r="AJ50"/>
    </row>
    <row r="51" spans="2:36" ht="16.899999999999999" customHeight="1" thickBot="1">
      <c r="B51" s="21"/>
      <c r="AG51" s="26"/>
    </row>
    <row r="52" spans="2:36" ht="37.15" customHeight="1" thickBot="1">
      <c r="B52" s="21"/>
      <c r="E52" s="228" t="s">
        <v>51</v>
      </c>
      <c r="F52" s="229"/>
      <c r="G52" s="230" t="s">
        <v>89</v>
      </c>
      <c r="H52" s="230"/>
      <c r="I52" s="230"/>
      <c r="J52" s="231" t="s">
        <v>53</v>
      </c>
      <c r="K52" s="231"/>
      <c r="L52" s="231"/>
      <c r="M52" s="231"/>
      <c r="N52" s="231" t="s">
        <v>54</v>
      </c>
      <c r="O52" s="231"/>
      <c r="P52" s="231"/>
      <c r="Q52" s="232"/>
      <c r="R52" s="233" t="s">
        <v>55</v>
      </c>
      <c r="S52" s="233"/>
      <c r="T52" s="233"/>
      <c r="U52" s="233"/>
      <c r="V52" s="233" t="s">
        <v>56</v>
      </c>
      <c r="W52" s="233"/>
      <c r="X52" s="233"/>
      <c r="Y52" s="233"/>
      <c r="Z52" s="234" t="s">
        <v>57</v>
      </c>
      <c r="AA52" s="231"/>
      <c r="AB52" s="231"/>
      <c r="AC52" s="231"/>
      <c r="AD52" s="231"/>
      <c r="AE52" s="231"/>
      <c r="AF52" s="235"/>
      <c r="AG52" s="26"/>
    </row>
    <row r="53" spans="2:36" ht="16.899999999999999" customHeight="1" thickBot="1">
      <c r="B53" s="21"/>
      <c r="E53" s="405">
        <v>1</v>
      </c>
      <c r="F53" s="406"/>
      <c r="G53" s="406" t="s">
        <v>164</v>
      </c>
      <c r="H53" s="406"/>
      <c r="I53" s="406"/>
      <c r="J53" s="407">
        <v>6.7</v>
      </c>
      <c r="K53" s="408"/>
      <c r="L53" s="408"/>
      <c r="M53" s="408"/>
      <c r="N53" s="408">
        <v>6.7</v>
      </c>
      <c r="O53" s="408"/>
      <c r="P53" s="408"/>
      <c r="Q53" s="408"/>
      <c r="R53" s="409">
        <f>IFERROR(((N53-J53)/J53),0)</f>
        <v>0</v>
      </c>
      <c r="S53" s="409"/>
      <c r="T53" s="409"/>
      <c r="U53" s="409"/>
      <c r="V53" s="410">
        <f>IF((ABS(R53)&lt;=0.05),9,IF((ABS(R53)&lt;=0.1),6,1))</f>
        <v>9</v>
      </c>
      <c r="W53" s="410"/>
      <c r="X53" s="410">
        <f>(P53-J53)/J53</f>
        <v>-1</v>
      </c>
      <c r="Y53" s="410"/>
      <c r="Z53" s="407" t="s">
        <v>165</v>
      </c>
      <c r="AA53" s="408"/>
      <c r="AB53" s="408"/>
      <c r="AC53" s="408"/>
      <c r="AD53" s="408"/>
      <c r="AE53" s="408"/>
      <c r="AF53" s="411"/>
      <c r="AG53" s="26"/>
    </row>
    <row r="54" spans="2:36" ht="16.899999999999999" customHeight="1">
      <c r="B54" s="21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G54" s="26"/>
    </row>
    <row r="55" spans="2:36" ht="16.899999999999999" customHeight="1">
      <c r="B55" s="21"/>
      <c r="E55" s="404" t="s">
        <v>166</v>
      </c>
      <c r="F55" s="404"/>
      <c r="G55" s="404"/>
      <c r="H55" s="404"/>
      <c r="I55" s="404"/>
      <c r="J55" s="404"/>
      <c r="K55" s="404"/>
      <c r="L55" s="404"/>
      <c r="M55" s="404"/>
      <c r="N55" s="404"/>
      <c r="O55" s="404"/>
      <c r="P55" s="404"/>
      <c r="Q55" s="404"/>
      <c r="R55" s="404"/>
      <c r="S55" s="256">
        <f>V53</f>
        <v>9</v>
      </c>
      <c r="T55" s="256"/>
      <c r="U55" s="256"/>
      <c r="V55" s="256"/>
      <c r="AG55" s="26"/>
    </row>
    <row r="56" spans="2:36" ht="16.899999999999999" customHeight="1">
      <c r="B56" s="21"/>
      <c r="AG56" s="26"/>
    </row>
    <row r="57" spans="2:36" ht="16.899999999999999" customHeight="1">
      <c r="B57" s="21"/>
      <c r="C57" s="29" t="s">
        <v>167</v>
      </c>
      <c r="D57" s="29"/>
      <c r="E57" s="29" t="s">
        <v>168</v>
      </c>
      <c r="AG57" s="26"/>
      <c r="AJ57"/>
    </row>
    <row r="58" spans="2:36" ht="16.899999999999999" customHeight="1" thickBot="1">
      <c r="B58" s="21"/>
      <c r="AG58" s="26"/>
    </row>
    <row r="59" spans="2:36" ht="37.15" customHeight="1" thickBot="1">
      <c r="B59" s="21"/>
      <c r="E59" s="228" t="s">
        <v>51</v>
      </c>
      <c r="F59" s="229"/>
      <c r="G59" s="230" t="s">
        <v>89</v>
      </c>
      <c r="H59" s="230"/>
      <c r="I59" s="230"/>
      <c r="J59" s="231" t="s">
        <v>169</v>
      </c>
      <c r="K59" s="231"/>
      <c r="L59" s="231"/>
      <c r="M59" s="231"/>
      <c r="N59" s="231" t="s">
        <v>170</v>
      </c>
      <c r="O59" s="231"/>
      <c r="P59" s="231"/>
      <c r="Q59" s="232"/>
      <c r="R59" s="233" t="s">
        <v>55</v>
      </c>
      <c r="S59" s="233"/>
      <c r="T59" s="233"/>
      <c r="U59" s="233"/>
      <c r="V59" s="233" t="s">
        <v>56</v>
      </c>
      <c r="W59" s="233"/>
      <c r="X59" s="233"/>
      <c r="Y59" s="233"/>
      <c r="Z59" s="234" t="s">
        <v>57</v>
      </c>
      <c r="AA59" s="231"/>
      <c r="AB59" s="231"/>
      <c r="AC59" s="231"/>
      <c r="AD59" s="231"/>
      <c r="AE59" s="231"/>
      <c r="AF59" s="235"/>
      <c r="AG59" s="26"/>
    </row>
    <row r="60" spans="2:36" ht="16.899999999999999" customHeight="1" thickBot="1">
      <c r="B60" s="21"/>
      <c r="E60" s="405">
        <v>1</v>
      </c>
      <c r="F60" s="406"/>
      <c r="G60" s="406" t="s">
        <v>164</v>
      </c>
      <c r="H60" s="406"/>
      <c r="I60" s="406"/>
      <c r="J60" s="407">
        <v>0.1</v>
      </c>
      <c r="K60" s="408"/>
      <c r="L60" s="408"/>
      <c r="M60" s="408"/>
      <c r="N60" s="408">
        <v>0.126</v>
      </c>
      <c r="O60" s="408"/>
      <c r="P60" s="408"/>
      <c r="Q60" s="408"/>
      <c r="R60" s="409">
        <f>IFERROR(((N60-J60)),0)</f>
        <v>2.5999999999999995E-2</v>
      </c>
      <c r="S60" s="409"/>
      <c r="T60" s="409"/>
      <c r="U60" s="409"/>
      <c r="V60" s="410">
        <f>IF((ABS(R60)&lt;=0.05),9,IF((ABS(R60)&lt;=0.1),6,1))</f>
        <v>9</v>
      </c>
      <c r="W60" s="410"/>
      <c r="X60" s="410">
        <f>(P60-J60)/J60</f>
        <v>-1</v>
      </c>
      <c r="Y60" s="410"/>
      <c r="Z60" s="407" t="s">
        <v>165</v>
      </c>
      <c r="AA60" s="408"/>
      <c r="AB60" s="408"/>
      <c r="AC60" s="408"/>
      <c r="AD60" s="408"/>
      <c r="AE60" s="408"/>
      <c r="AF60" s="411"/>
      <c r="AG60" s="26"/>
    </row>
    <row r="61" spans="2:36" ht="16.899999999999999" customHeight="1">
      <c r="B61" s="21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G61" s="26"/>
    </row>
    <row r="62" spans="2:36" ht="16.899999999999999" customHeight="1">
      <c r="B62" s="21"/>
      <c r="E62" s="404" t="s">
        <v>171</v>
      </c>
      <c r="F62" s="404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404"/>
      <c r="S62" s="256">
        <f>V60</f>
        <v>9</v>
      </c>
      <c r="T62" s="256"/>
      <c r="U62" s="256"/>
      <c r="V62" s="256"/>
      <c r="AG62" s="26"/>
    </row>
    <row r="63" spans="2:36" ht="16.899999999999999" customHeight="1">
      <c r="B63" s="21"/>
      <c r="AG63" s="26"/>
    </row>
    <row r="64" spans="2:36" ht="16.899999999999999" customHeight="1">
      <c r="B64" s="21"/>
      <c r="C64" s="29" t="s">
        <v>172</v>
      </c>
      <c r="D64" s="29"/>
      <c r="E64" s="29" t="s">
        <v>117</v>
      </c>
      <c r="AG64" s="26"/>
    </row>
    <row r="65" spans="2:33" ht="16.899999999999999" customHeight="1">
      <c r="B65" s="21"/>
      <c r="E65" s="294" t="s">
        <v>173</v>
      </c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6"/>
    </row>
    <row r="66" spans="2:33" ht="16.899999999999999" customHeight="1">
      <c r="B66" s="21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6"/>
    </row>
    <row r="67" spans="2:33" ht="16.899999999999999" customHeight="1">
      <c r="B67" s="21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6"/>
    </row>
    <row r="68" spans="2:33" ht="16.899999999999999" customHeight="1">
      <c r="B68" s="21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6"/>
    </row>
    <row r="69" spans="2:33" ht="16.899999999999999" customHeight="1">
      <c r="B69" s="21"/>
      <c r="AG69" s="26"/>
    </row>
    <row r="70" spans="2:33" ht="16.899999999999999" customHeight="1">
      <c r="B70" s="21"/>
      <c r="C70" s="29" t="s">
        <v>174</v>
      </c>
      <c r="D70" s="29"/>
      <c r="E70" s="29" t="s">
        <v>120</v>
      </c>
      <c r="F70" s="29"/>
      <c r="AG70" s="26"/>
    </row>
    <row r="71" spans="2:33" ht="16.899999999999999" customHeight="1">
      <c r="B71" s="21"/>
      <c r="E71" s="253" t="s">
        <v>175</v>
      </c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5"/>
      <c r="S71" s="388">
        <f>MIN(S24,S48,S55,S62)</f>
        <v>9</v>
      </c>
      <c r="T71" s="389"/>
      <c r="U71" s="389"/>
      <c r="V71" s="389"/>
      <c r="AG71" s="26"/>
    </row>
    <row r="72" spans="2:33" ht="16.899999999999999" customHeight="1" thickBot="1">
      <c r="B72" s="21"/>
      <c r="AG72" s="26"/>
    </row>
    <row r="73" spans="2:33" ht="16.899999999999999" customHeight="1" thickBot="1">
      <c r="B73" s="21"/>
      <c r="C73" s="412" t="s">
        <v>19</v>
      </c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 t="s">
        <v>20</v>
      </c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9"/>
      <c r="AG73" s="26"/>
    </row>
    <row r="74" spans="2:33" ht="16.899999999999999" customHeight="1">
      <c r="B74" s="21"/>
      <c r="C74" s="51">
        <v>1</v>
      </c>
      <c r="D74" s="286" t="s">
        <v>347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87"/>
      <c r="AG74" s="26"/>
    </row>
    <row r="75" spans="2:33" ht="16.899999999999999" customHeight="1">
      <c r="B75" s="21"/>
      <c r="C75" s="52">
        <v>2</v>
      </c>
      <c r="D75" s="294" t="s">
        <v>124</v>
      </c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374"/>
      <c r="AG75" s="26"/>
    </row>
    <row r="76" spans="2:33" ht="16.899999999999999" customHeight="1">
      <c r="B76" s="21"/>
      <c r="C76" s="52">
        <v>3</v>
      </c>
      <c r="D76" s="294" t="s">
        <v>125</v>
      </c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  <c r="AF76" s="374"/>
      <c r="AG76" s="26"/>
    </row>
    <row r="77" spans="2:33" ht="16.899999999999999" customHeight="1">
      <c r="B77" s="21"/>
      <c r="C77" s="52">
        <v>4</v>
      </c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  <c r="AF77" s="374"/>
      <c r="AG77" s="26"/>
    </row>
    <row r="78" spans="2:33" ht="16.899999999999999" customHeight="1" thickBot="1">
      <c r="B78" s="21"/>
      <c r="C78" s="53">
        <v>5</v>
      </c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 t="s">
        <v>288</v>
      </c>
      <c r="S78" s="292"/>
      <c r="T78" s="292"/>
      <c r="U78" s="292"/>
      <c r="V78" s="292"/>
      <c r="W78" s="292"/>
      <c r="X78" s="292"/>
      <c r="Y78" s="292"/>
      <c r="Z78" s="292"/>
      <c r="AA78" s="292"/>
      <c r="AB78" s="292"/>
      <c r="AC78" s="292"/>
      <c r="AD78" s="292"/>
      <c r="AE78" s="292"/>
      <c r="AF78" s="293"/>
      <c r="AG78" s="26"/>
    </row>
    <row r="79" spans="2:33" ht="16.899999999999999" customHeight="1" thickBot="1">
      <c r="B79" s="42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4"/>
    </row>
  </sheetData>
  <sheetProtection algorithmName="SHA-512" hashValue="AYhLM5iO2NzDzt6XsizUSQcaKlRXmFXniSG2psW992U1S4cLiJiF3f/JSnqp3bR5IM9LqN8YbmWbXf6cbkI04w==" saltValue="Z/4dPur2h4u6wvknk8R0AA==" spinCount="100000" sheet="1" scenarios="1"/>
  <mergeCells count="207">
    <mergeCell ref="D78:M78"/>
    <mergeCell ref="N78:Q78"/>
    <mergeCell ref="R78:AF78"/>
    <mergeCell ref="D74:M74"/>
    <mergeCell ref="N74:Q74"/>
    <mergeCell ref="R74:AF77"/>
    <mergeCell ref="D75:M75"/>
    <mergeCell ref="N75:Q75"/>
    <mergeCell ref="D76:M76"/>
    <mergeCell ref="N76:Q76"/>
    <mergeCell ref="D77:M77"/>
    <mergeCell ref="N77:Q77"/>
    <mergeCell ref="E62:R62"/>
    <mergeCell ref="S62:V62"/>
    <mergeCell ref="E65:AF68"/>
    <mergeCell ref="E71:R71"/>
    <mergeCell ref="S71:V71"/>
    <mergeCell ref="C73:Q73"/>
    <mergeCell ref="R73:AF73"/>
    <mergeCell ref="Z59:AF59"/>
    <mergeCell ref="E60:F60"/>
    <mergeCell ref="G60:I60"/>
    <mergeCell ref="J60:M60"/>
    <mergeCell ref="N60:Q60"/>
    <mergeCell ref="R60:U60"/>
    <mergeCell ref="V60:Y60"/>
    <mergeCell ref="Z60:AF60"/>
    <mergeCell ref="E55:R55"/>
    <mergeCell ref="S55:V55"/>
    <mergeCell ref="E59:F59"/>
    <mergeCell ref="G59:I59"/>
    <mergeCell ref="J59:M59"/>
    <mergeCell ref="N59:Q59"/>
    <mergeCell ref="R59:U59"/>
    <mergeCell ref="V59:Y59"/>
    <mergeCell ref="Z52:AF52"/>
    <mergeCell ref="E53:F53"/>
    <mergeCell ref="G53:I53"/>
    <mergeCell ref="J53:M53"/>
    <mergeCell ref="N53:Q53"/>
    <mergeCell ref="R53:U53"/>
    <mergeCell ref="V53:Y53"/>
    <mergeCell ref="Z53:AF53"/>
    <mergeCell ref="R42:V42"/>
    <mergeCell ref="W42:AA42"/>
    <mergeCell ref="AB42:AF42"/>
    <mergeCell ref="E48:R48"/>
    <mergeCell ref="S48:V48"/>
    <mergeCell ref="E52:F52"/>
    <mergeCell ref="G52:I52"/>
    <mergeCell ref="J52:M52"/>
    <mergeCell ref="N52:Q52"/>
    <mergeCell ref="R52:U52"/>
    <mergeCell ref="V52:Y52"/>
    <mergeCell ref="E45:L45"/>
    <mergeCell ref="M45:Q45"/>
    <mergeCell ref="R45:V45"/>
    <mergeCell ref="W45:AA45"/>
    <mergeCell ref="I41:L41"/>
    <mergeCell ref="M41:Q41"/>
    <mergeCell ref="R41:V41"/>
    <mergeCell ref="W41:AA41"/>
    <mergeCell ref="AB45:AF45"/>
    <mergeCell ref="E46:L46"/>
    <mergeCell ref="M46:Q46"/>
    <mergeCell ref="R46:V46"/>
    <mergeCell ref="W46:AA46"/>
    <mergeCell ref="AB46:AF46"/>
    <mergeCell ref="I43:L43"/>
    <mergeCell ref="M43:Q43"/>
    <mergeCell ref="R43:V43"/>
    <mergeCell ref="W43:AA43"/>
    <mergeCell ref="AB43:AF43"/>
    <mergeCell ref="I44:L44"/>
    <mergeCell ref="M44:Q44"/>
    <mergeCell ref="R44:V44"/>
    <mergeCell ref="W44:AA44"/>
    <mergeCell ref="AB44:AF44"/>
    <mergeCell ref="E41:H44"/>
    <mergeCell ref="AB41:AF41"/>
    <mergeCell ref="I42:L42"/>
    <mergeCell ref="M42:Q42"/>
    <mergeCell ref="E37:H40"/>
    <mergeCell ref="I37:L37"/>
    <mergeCell ref="M37:Q37"/>
    <mergeCell ref="R37:V37"/>
    <mergeCell ref="W37:AA37"/>
    <mergeCell ref="AB37:AF37"/>
    <mergeCell ref="I38:L38"/>
    <mergeCell ref="M38:Q38"/>
    <mergeCell ref="R38:V38"/>
    <mergeCell ref="W38:AA38"/>
    <mergeCell ref="I40:L40"/>
    <mergeCell ref="M40:Q40"/>
    <mergeCell ref="R40:V40"/>
    <mergeCell ref="W40:AA40"/>
    <mergeCell ref="AB40:AF40"/>
    <mergeCell ref="I36:L36"/>
    <mergeCell ref="M36:Q36"/>
    <mergeCell ref="R36:V36"/>
    <mergeCell ref="W36:AA36"/>
    <mergeCell ref="AB36:AF36"/>
    <mergeCell ref="AB38:AF38"/>
    <mergeCell ref="I39:L39"/>
    <mergeCell ref="M39:Q39"/>
    <mergeCell ref="R39:V39"/>
    <mergeCell ref="W39:AA39"/>
    <mergeCell ref="AB39:AF39"/>
    <mergeCell ref="R34:V34"/>
    <mergeCell ref="W34:AA34"/>
    <mergeCell ref="AB34:AF34"/>
    <mergeCell ref="I32:L32"/>
    <mergeCell ref="M32:Q32"/>
    <mergeCell ref="R32:V32"/>
    <mergeCell ref="W32:AA32"/>
    <mergeCell ref="AB32:AF32"/>
    <mergeCell ref="I35:L35"/>
    <mergeCell ref="M35:Q35"/>
    <mergeCell ref="R35:V35"/>
    <mergeCell ref="W35:AA35"/>
    <mergeCell ref="AB35:AF35"/>
    <mergeCell ref="E29:H32"/>
    <mergeCell ref="I29:L29"/>
    <mergeCell ref="M29:Q29"/>
    <mergeCell ref="R29:V29"/>
    <mergeCell ref="W29:AA29"/>
    <mergeCell ref="AB29:AF29"/>
    <mergeCell ref="I30:L30"/>
    <mergeCell ref="M30:Q30"/>
    <mergeCell ref="E33:H36"/>
    <mergeCell ref="I33:L33"/>
    <mergeCell ref="M33:Q33"/>
    <mergeCell ref="R33:V33"/>
    <mergeCell ref="W33:AA33"/>
    <mergeCell ref="R30:V30"/>
    <mergeCell ref="W30:AA30"/>
    <mergeCell ref="AB30:AF30"/>
    <mergeCell ref="I31:L31"/>
    <mergeCell ref="M31:Q31"/>
    <mergeCell ref="R31:V31"/>
    <mergeCell ref="W31:AA31"/>
    <mergeCell ref="AB31:AF31"/>
    <mergeCell ref="AB33:AF33"/>
    <mergeCell ref="I34:L34"/>
    <mergeCell ref="M34:Q34"/>
    <mergeCell ref="E24:R24"/>
    <mergeCell ref="S24:V24"/>
    <mergeCell ref="E28:H28"/>
    <mergeCell ref="I28:L28"/>
    <mergeCell ref="M28:Q28"/>
    <mergeCell ref="R28:V28"/>
    <mergeCell ref="AB21:AF21"/>
    <mergeCell ref="I22:L22"/>
    <mergeCell ref="M22:Q22"/>
    <mergeCell ref="R22:V22"/>
    <mergeCell ref="W22:AA22"/>
    <mergeCell ref="AB22:AF22"/>
    <mergeCell ref="E20:H22"/>
    <mergeCell ref="I20:L20"/>
    <mergeCell ref="M20:Q20"/>
    <mergeCell ref="R20:V20"/>
    <mergeCell ref="W20:AA20"/>
    <mergeCell ref="AB20:AF20"/>
    <mergeCell ref="I21:L21"/>
    <mergeCell ref="M21:Q21"/>
    <mergeCell ref="R21:V21"/>
    <mergeCell ref="W21:AA21"/>
    <mergeCell ref="W28:AA28"/>
    <mergeCell ref="AB28:AF28"/>
    <mergeCell ref="AB16:AF16"/>
    <mergeCell ref="E17:H19"/>
    <mergeCell ref="I17:L17"/>
    <mergeCell ref="M17:Q17"/>
    <mergeCell ref="R17:V17"/>
    <mergeCell ref="W17:AA17"/>
    <mergeCell ref="AB17:AF17"/>
    <mergeCell ref="I18:L18"/>
    <mergeCell ref="M18:Q18"/>
    <mergeCell ref="R18:V18"/>
    <mergeCell ref="W18:AA18"/>
    <mergeCell ref="AB18:AF18"/>
    <mergeCell ref="I19:L19"/>
    <mergeCell ref="M19:Q19"/>
    <mergeCell ref="R19:V19"/>
    <mergeCell ref="W19:AA19"/>
    <mergeCell ref="AB19:AF19"/>
    <mergeCell ref="E16:H16"/>
    <mergeCell ref="I16:L16"/>
    <mergeCell ref="M16:Q16"/>
    <mergeCell ref="E4:F4"/>
    <mergeCell ref="H4:P4"/>
    <mergeCell ref="E5:F5"/>
    <mergeCell ref="H5:P5"/>
    <mergeCell ref="E9:J9"/>
    <mergeCell ref="L9:N9"/>
    <mergeCell ref="O9:P9"/>
    <mergeCell ref="R16:V16"/>
    <mergeCell ref="W16:AA16"/>
    <mergeCell ref="E12:J12"/>
    <mergeCell ref="L12:N12"/>
    <mergeCell ref="O12:P12"/>
    <mergeCell ref="E10:J10"/>
    <mergeCell ref="L10:N10"/>
    <mergeCell ref="O10:P10"/>
    <mergeCell ref="E11:J11"/>
    <mergeCell ref="L11:N11"/>
    <mergeCell ref="O11:P1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2" orientation="portrait" r:id="rId1"/>
  <rowBreaks count="1" manualBreakCount="1">
    <brk id="49" min="1" max="3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9867-5121-435E-8A3E-86C3E2C85314}">
  <dimension ref="B1:AJ85"/>
  <sheetViews>
    <sheetView view="pageBreakPreview" topLeftCell="A55" zoomScale="90" zoomScaleNormal="100" zoomScaleSheetLayoutView="90" workbookViewId="0">
      <selection activeCell="J53" sqref="J53:M53"/>
    </sheetView>
  </sheetViews>
  <sheetFormatPr defaultColWidth="8.85546875" defaultRowHeight="16.899999999999999" customHeight="1"/>
  <cols>
    <col min="1" max="1" width="4.28515625" style="17" customWidth="1"/>
    <col min="2" max="11" width="3.7109375" style="17" customWidth="1"/>
    <col min="12" max="12" width="6.28515625" style="17" customWidth="1"/>
    <col min="13" max="107" width="3.7109375" style="17" customWidth="1"/>
    <col min="108" max="16384" width="8.85546875" style="17"/>
  </cols>
  <sheetData>
    <row r="1" spans="2:33" ht="16.899999999999999" customHeight="1" thickBot="1"/>
    <row r="2" spans="2:33" ht="16.899999999999999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</row>
    <row r="3" spans="2:33" ht="16.899999999999999" customHeight="1">
      <c r="B3" s="21"/>
      <c r="C3" s="22"/>
      <c r="D3" s="23"/>
      <c r="E3" s="24" t="s">
        <v>47</v>
      </c>
      <c r="F3" s="24"/>
      <c r="G3" s="2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5"/>
      <c r="AG3" s="26"/>
    </row>
    <row r="4" spans="2:33" ht="16.899999999999999" customHeight="1">
      <c r="B4" s="21"/>
      <c r="C4" s="27"/>
      <c r="E4" s="224" t="s">
        <v>3</v>
      </c>
      <c r="F4" s="224"/>
      <c r="G4" s="29" t="s">
        <v>4</v>
      </c>
      <c r="H4" s="225" t="s">
        <v>5</v>
      </c>
      <c r="I4" s="225"/>
      <c r="J4" s="225"/>
      <c r="K4" s="225"/>
      <c r="L4" s="225"/>
      <c r="M4" s="225"/>
      <c r="N4" s="225"/>
      <c r="O4" s="225"/>
      <c r="P4" s="225"/>
      <c r="AF4" s="30"/>
      <c r="AG4" s="26"/>
    </row>
    <row r="5" spans="2:33" ht="16.899999999999999" customHeight="1">
      <c r="B5" s="21"/>
      <c r="C5" s="31"/>
      <c r="D5" s="32"/>
      <c r="E5" s="226" t="s">
        <v>48</v>
      </c>
      <c r="F5" s="226"/>
      <c r="G5" s="33" t="s">
        <v>4</v>
      </c>
      <c r="H5" s="364" t="s">
        <v>5</v>
      </c>
      <c r="I5" s="364"/>
      <c r="J5" s="364"/>
      <c r="K5" s="364"/>
      <c r="L5" s="364"/>
      <c r="M5" s="364"/>
      <c r="N5" s="364"/>
      <c r="O5" s="364"/>
      <c r="P5" s="364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4"/>
      <c r="AG5" s="26"/>
    </row>
    <row r="6" spans="2:33" ht="16.899999999999999" customHeight="1">
      <c r="B6" s="21"/>
      <c r="E6" s="45"/>
      <c r="F6" s="45"/>
      <c r="H6" s="35"/>
      <c r="I6" s="35"/>
      <c r="J6" s="35"/>
      <c r="K6" s="35"/>
      <c r="L6" s="35"/>
      <c r="M6" s="35"/>
      <c r="N6" s="35"/>
      <c r="O6" s="35"/>
      <c r="P6" s="35"/>
      <c r="AG6" s="26"/>
    </row>
    <row r="7" spans="2:33" ht="16.899999999999999" customHeight="1">
      <c r="B7" s="21"/>
      <c r="C7" s="29">
        <v>3</v>
      </c>
      <c r="D7" s="29"/>
      <c r="E7" s="29" t="s">
        <v>176</v>
      </c>
      <c r="F7" s="45"/>
      <c r="H7" s="35"/>
      <c r="I7" s="35"/>
      <c r="J7" s="35"/>
      <c r="K7" s="35"/>
      <c r="L7" s="35"/>
      <c r="M7" s="35"/>
      <c r="N7" s="35"/>
      <c r="O7" s="35"/>
      <c r="P7" s="35"/>
      <c r="AG7" s="26"/>
    </row>
    <row r="8" spans="2:33" ht="16.899999999999999" customHeight="1" thickBot="1">
      <c r="B8" s="21"/>
      <c r="C8" s="29"/>
      <c r="D8" s="29"/>
      <c r="E8" s="29"/>
      <c r="F8" s="45"/>
      <c r="H8" s="35"/>
      <c r="I8" s="35"/>
      <c r="J8" s="35"/>
      <c r="K8" s="35"/>
      <c r="L8" s="35"/>
      <c r="M8" s="35"/>
      <c r="N8" s="35"/>
      <c r="O8" s="35"/>
      <c r="P8" s="35"/>
      <c r="AG8" s="26"/>
    </row>
    <row r="9" spans="2:33" ht="16.899999999999999" customHeight="1">
      <c r="B9" s="21"/>
      <c r="C9" s="29"/>
      <c r="D9" s="29"/>
      <c r="E9" s="365" t="s">
        <v>127</v>
      </c>
      <c r="F9" s="366"/>
      <c r="G9" s="366"/>
      <c r="H9" s="366"/>
      <c r="I9" s="366"/>
      <c r="J9" s="366"/>
      <c r="K9" s="46" t="s">
        <v>4</v>
      </c>
      <c r="L9" s="367">
        <v>1.2</v>
      </c>
      <c r="M9" s="286"/>
      <c r="N9" s="286"/>
      <c r="O9" s="286" t="s">
        <v>128</v>
      </c>
      <c r="P9" s="287"/>
      <c r="AG9" s="26"/>
    </row>
    <row r="10" spans="2:33" ht="16.899999999999999" customHeight="1">
      <c r="B10" s="21"/>
      <c r="C10" s="29"/>
      <c r="D10" s="29"/>
      <c r="E10" s="371" t="s">
        <v>129</v>
      </c>
      <c r="F10" s="372"/>
      <c r="G10" s="372"/>
      <c r="H10" s="372"/>
      <c r="I10" s="372"/>
      <c r="J10" s="372"/>
      <c r="K10" s="47" t="s">
        <v>4</v>
      </c>
      <c r="L10" s="373">
        <v>0.33</v>
      </c>
      <c r="M10" s="294"/>
      <c r="N10" s="294"/>
      <c r="O10" s="294"/>
      <c r="P10" s="374"/>
      <c r="AG10" s="26"/>
    </row>
    <row r="11" spans="2:33" ht="16.899999999999999" customHeight="1">
      <c r="B11" s="21"/>
      <c r="E11" s="371" t="s">
        <v>130</v>
      </c>
      <c r="F11" s="372"/>
      <c r="G11" s="372"/>
      <c r="H11" s="372"/>
      <c r="I11" s="372"/>
      <c r="J11" s="372"/>
      <c r="K11" s="47" t="s">
        <v>4</v>
      </c>
      <c r="L11" s="373">
        <v>0.2</v>
      </c>
      <c r="M11" s="294"/>
      <c r="N11" s="294"/>
      <c r="O11" s="294" t="s">
        <v>128</v>
      </c>
      <c r="P11" s="374"/>
      <c r="AG11" s="26"/>
    </row>
    <row r="12" spans="2:33" ht="16.899999999999999" customHeight="1" thickBot="1">
      <c r="B12" s="21"/>
      <c r="E12" s="368" t="s">
        <v>131</v>
      </c>
      <c r="F12" s="369"/>
      <c r="G12" s="369"/>
      <c r="H12" s="369"/>
      <c r="I12" s="369"/>
      <c r="J12" s="369"/>
      <c r="K12" s="48" t="s">
        <v>4</v>
      </c>
      <c r="L12" s="370">
        <v>0.8</v>
      </c>
      <c r="M12" s="292"/>
      <c r="N12" s="292"/>
      <c r="O12" s="292"/>
      <c r="P12" s="293"/>
      <c r="AG12" s="26"/>
    </row>
    <row r="13" spans="2:33" ht="16.899999999999999" customHeight="1">
      <c r="B13" s="21"/>
      <c r="AG13" s="26"/>
    </row>
    <row r="14" spans="2:33" ht="16.899999999999999" customHeight="1">
      <c r="B14" s="21"/>
      <c r="C14" s="29" t="s">
        <v>177</v>
      </c>
      <c r="D14" s="29"/>
      <c r="E14" s="29" t="s">
        <v>178</v>
      </c>
      <c r="AG14" s="49"/>
    </row>
    <row r="15" spans="2:33" ht="16.899999999999999" customHeight="1">
      <c r="B15" s="21"/>
      <c r="AG15" s="26"/>
    </row>
    <row r="16" spans="2:33" ht="37.15" customHeight="1">
      <c r="B16" s="21"/>
      <c r="E16" s="416" t="s">
        <v>134</v>
      </c>
      <c r="F16" s="416"/>
      <c r="G16" s="416"/>
      <c r="H16" s="416"/>
      <c r="I16" s="416" t="s">
        <v>135</v>
      </c>
      <c r="J16" s="416"/>
      <c r="K16" s="416"/>
      <c r="L16" s="416"/>
      <c r="M16" s="413" t="s">
        <v>136</v>
      </c>
      <c r="N16" s="413"/>
      <c r="O16" s="413"/>
      <c r="P16" s="413"/>
      <c r="Q16" s="413"/>
      <c r="R16" s="413" t="s">
        <v>137</v>
      </c>
      <c r="S16" s="413"/>
      <c r="T16" s="413"/>
      <c r="U16" s="413"/>
      <c r="V16" s="413"/>
      <c r="W16" s="413" t="s">
        <v>138</v>
      </c>
      <c r="X16" s="413"/>
      <c r="Y16" s="413"/>
      <c r="Z16" s="413"/>
      <c r="AA16" s="413"/>
      <c r="AB16" s="413" t="s">
        <v>139</v>
      </c>
      <c r="AC16" s="413"/>
      <c r="AD16" s="413"/>
      <c r="AE16" s="413"/>
      <c r="AF16" s="413"/>
      <c r="AG16" s="26"/>
    </row>
    <row r="17" spans="2:33" ht="16.899999999999999" customHeight="1">
      <c r="B17" s="21"/>
      <c r="E17" s="247" t="s">
        <v>140</v>
      </c>
      <c r="F17" s="247"/>
      <c r="G17" s="247"/>
      <c r="H17" s="247"/>
      <c r="I17" s="379" t="s">
        <v>141</v>
      </c>
      <c r="J17" s="379"/>
      <c r="K17" s="379"/>
      <c r="L17" s="379"/>
      <c r="M17" s="414">
        <v>1.1970000000000001</v>
      </c>
      <c r="N17" s="415"/>
      <c r="O17" s="415"/>
      <c r="P17" s="415"/>
      <c r="Q17" s="415"/>
      <c r="R17" s="415">
        <v>1.1970000000000001</v>
      </c>
      <c r="S17" s="415"/>
      <c r="T17" s="415"/>
      <c r="U17" s="415"/>
      <c r="V17" s="415"/>
      <c r="W17" s="415">
        <v>1.1970000000000001</v>
      </c>
      <c r="X17" s="415"/>
      <c r="Y17" s="415"/>
      <c r="Z17" s="415"/>
      <c r="AA17" s="415"/>
      <c r="AB17" s="415">
        <v>0.2</v>
      </c>
      <c r="AC17" s="415"/>
      <c r="AD17" s="415"/>
      <c r="AE17" s="415"/>
      <c r="AF17" s="415"/>
      <c r="AG17" s="26"/>
    </row>
    <row r="18" spans="2:33" ht="16.899999999999999" customHeight="1">
      <c r="B18" s="21"/>
      <c r="E18" s="247"/>
      <c r="F18" s="247"/>
      <c r="G18" s="247"/>
      <c r="H18" s="247"/>
      <c r="I18" s="379" t="s">
        <v>142</v>
      </c>
      <c r="J18" s="379"/>
      <c r="K18" s="379"/>
      <c r="L18" s="379"/>
      <c r="M18" s="380">
        <f>IFERROR(((M17-$L$9)/$L$9),0)</f>
        <v>-2.4999999999999098E-3</v>
      </c>
      <c r="N18" s="380"/>
      <c r="O18" s="380"/>
      <c r="P18" s="380"/>
      <c r="Q18" s="380"/>
      <c r="R18" s="380">
        <f t="shared" ref="R18" si="0">IFERROR(((R17-$L$9)/$L$9),0)</f>
        <v>-2.4999999999999098E-3</v>
      </c>
      <c r="S18" s="380"/>
      <c r="T18" s="380"/>
      <c r="U18" s="380"/>
      <c r="V18" s="380"/>
      <c r="W18" s="380">
        <f>IFERROR(((W17-$L$9)/$L$9),0)</f>
        <v>-2.4999999999999098E-3</v>
      </c>
      <c r="X18" s="380"/>
      <c r="Y18" s="380"/>
      <c r="Z18" s="380"/>
      <c r="AA18" s="380"/>
      <c r="AB18" s="380">
        <f>IFERROR(((AB17-$L$11)/$L$11),0)</f>
        <v>0</v>
      </c>
      <c r="AC18" s="380"/>
      <c r="AD18" s="380"/>
      <c r="AE18" s="380"/>
      <c r="AF18" s="380"/>
      <c r="AG18" s="50">
        <f>COUNTIF(M19:AF19,6)</f>
        <v>0</v>
      </c>
    </row>
    <row r="19" spans="2:33" ht="16.899999999999999" customHeight="1">
      <c r="B19" s="21"/>
      <c r="E19" s="247"/>
      <c r="F19" s="247"/>
      <c r="G19" s="247"/>
      <c r="H19" s="247"/>
      <c r="I19" s="379" t="s">
        <v>56</v>
      </c>
      <c r="J19" s="379"/>
      <c r="K19" s="379"/>
      <c r="L19" s="379"/>
      <c r="M19" s="382">
        <f>IF((ABS(M18)&lt;=0.05),9,IF((ABS(M18)&lt;=0.1),6,1))</f>
        <v>9</v>
      </c>
      <c r="N19" s="382"/>
      <c r="O19" s="382"/>
      <c r="P19" s="382"/>
      <c r="Q19" s="382"/>
      <c r="R19" s="382">
        <f t="shared" ref="R19" si="1">IF((ABS(R18)&lt;=0.05),9,IF((ABS(R18)&lt;=0.1),6,1))</f>
        <v>9</v>
      </c>
      <c r="S19" s="382"/>
      <c r="T19" s="382"/>
      <c r="U19" s="382"/>
      <c r="V19" s="382"/>
      <c r="W19" s="382">
        <f>IF((ABS(W18)&lt;=0.05),9,IF((ABS(W18)&lt;=0.1),6,1))</f>
        <v>9</v>
      </c>
      <c r="X19" s="382"/>
      <c r="Y19" s="382"/>
      <c r="Z19" s="382"/>
      <c r="AA19" s="382"/>
      <c r="AB19" s="382">
        <f>IF((ABS(AB18)&lt;=0.05),9,IF((ABS(AB18)&lt;=0.1),6,1))</f>
        <v>9</v>
      </c>
      <c r="AC19" s="382"/>
      <c r="AD19" s="382"/>
      <c r="AE19" s="382"/>
      <c r="AF19" s="382"/>
      <c r="AG19" s="50">
        <f>COUNTIF(M19:AF19,1)</f>
        <v>0</v>
      </c>
    </row>
    <row r="20" spans="2:33" ht="16.899999999999999" customHeight="1">
      <c r="B20" s="21"/>
      <c r="E20" s="247" t="s">
        <v>143</v>
      </c>
      <c r="F20" s="247"/>
      <c r="G20" s="247"/>
      <c r="H20" s="247"/>
      <c r="I20" s="379" t="s">
        <v>141</v>
      </c>
      <c r="J20" s="379"/>
      <c r="K20" s="379"/>
      <c r="L20" s="379"/>
      <c r="M20" s="392">
        <v>1.131</v>
      </c>
      <c r="N20" s="393"/>
      <c r="O20" s="393"/>
      <c r="P20" s="393"/>
      <c r="Q20" s="393"/>
      <c r="R20" s="393">
        <v>1.131</v>
      </c>
      <c r="S20" s="393"/>
      <c r="T20" s="393"/>
      <c r="U20" s="393"/>
      <c r="V20" s="393"/>
      <c r="W20" s="393">
        <v>1.131</v>
      </c>
      <c r="X20" s="393"/>
      <c r="Y20" s="393"/>
      <c r="Z20" s="393"/>
      <c r="AA20" s="393"/>
      <c r="AB20" s="393">
        <v>0.19</v>
      </c>
      <c r="AC20" s="393"/>
      <c r="AD20" s="393"/>
      <c r="AE20" s="393"/>
      <c r="AF20" s="393"/>
      <c r="AG20" s="26"/>
    </row>
    <row r="21" spans="2:33" ht="16.899999999999999" customHeight="1">
      <c r="B21" s="21"/>
      <c r="E21" s="247"/>
      <c r="F21" s="247"/>
      <c r="G21" s="247"/>
      <c r="H21" s="247"/>
      <c r="I21" s="379" t="s">
        <v>144</v>
      </c>
      <c r="J21" s="379"/>
      <c r="K21" s="379"/>
      <c r="L21" s="379"/>
      <c r="M21" s="380">
        <f>IFERROR((M20/M17),0)</f>
        <v>0.94486215538847118</v>
      </c>
      <c r="N21" s="380"/>
      <c r="O21" s="380"/>
      <c r="P21" s="380"/>
      <c r="Q21" s="380"/>
      <c r="R21" s="380">
        <f t="shared" ref="R21" si="2">IFERROR((R20/R17),0)</f>
        <v>0.94486215538847118</v>
      </c>
      <c r="S21" s="380"/>
      <c r="T21" s="380"/>
      <c r="U21" s="380"/>
      <c r="V21" s="380"/>
      <c r="W21" s="380">
        <f>IFERROR((W20/W17),0)</f>
        <v>0.94486215538847118</v>
      </c>
      <c r="X21" s="380"/>
      <c r="Y21" s="380"/>
      <c r="Z21" s="380"/>
      <c r="AA21" s="380"/>
      <c r="AB21" s="380">
        <f>IFERROR((AB20/AB17),0)</f>
        <v>0.95</v>
      </c>
      <c r="AC21" s="380"/>
      <c r="AD21" s="380"/>
      <c r="AE21" s="380"/>
      <c r="AF21" s="380"/>
      <c r="AG21" s="50">
        <f>COUNTIF(M22:AF22,6)</f>
        <v>3</v>
      </c>
    </row>
    <row r="22" spans="2:33" ht="16.899999999999999" customHeight="1">
      <c r="B22" s="21"/>
      <c r="E22" s="247"/>
      <c r="F22" s="247"/>
      <c r="G22" s="247"/>
      <c r="H22" s="247"/>
      <c r="I22" s="379" t="s">
        <v>56</v>
      </c>
      <c r="J22" s="379"/>
      <c r="K22" s="379"/>
      <c r="L22" s="379"/>
      <c r="M22" s="382">
        <f>IF((ABS(M21)&gt;=0.95),9,IF((ABS(M21)&gt;=0.9),6,IF((ABS(M21)=0),9,1)))</f>
        <v>6</v>
      </c>
      <c r="N22" s="382"/>
      <c r="O22" s="382"/>
      <c r="P22" s="382"/>
      <c r="Q22" s="382"/>
      <c r="R22" s="382">
        <f>IF((ABS(R21)&gt;=0.95),9,IF((ABS(R21)&gt;=0.9),6,IF((ABS(R21)=0),9,1)))</f>
        <v>6</v>
      </c>
      <c r="S22" s="382"/>
      <c r="T22" s="382"/>
      <c r="U22" s="382"/>
      <c r="V22" s="382"/>
      <c r="W22" s="382">
        <f>IF((ABS(W21)&gt;=0.95),9,IF((ABS(W21)&gt;=0.9),6,IF((ABS(W21)=0),9,1)))</f>
        <v>6</v>
      </c>
      <c r="X22" s="382"/>
      <c r="Y22" s="382"/>
      <c r="Z22" s="382"/>
      <c r="AA22" s="382"/>
      <c r="AB22" s="382">
        <f>IF((ABS(AB21)&gt;=0.95),9,IF((ABS(AB21)&gt;=0.9),6,IF((ABS(AB21)=0),9,1)))</f>
        <v>9</v>
      </c>
      <c r="AC22" s="382"/>
      <c r="AD22" s="382"/>
      <c r="AE22" s="382"/>
      <c r="AF22" s="382"/>
      <c r="AG22" s="50">
        <f>COUNTIF(M22:AF22,1)</f>
        <v>0</v>
      </c>
    </row>
    <row r="23" spans="2:33" ht="16.899999999999999" customHeight="1">
      <c r="B23" s="21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G23" s="26"/>
    </row>
    <row r="24" spans="2:33" ht="16.899999999999999" customHeight="1">
      <c r="B24" s="21"/>
      <c r="E24" s="253" t="s">
        <v>145</v>
      </c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5"/>
      <c r="S24" s="388">
        <f>MIN(M19:AF19,M22:AF22)</f>
        <v>6</v>
      </c>
      <c r="T24" s="389"/>
      <c r="U24" s="389"/>
      <c r="V24" s="389"/>
      <c r="AG24" s="26"/>
    </row>
    <row r="25" spans="2:33" ht="16.899999999999999" customHeight="1">
      <c r="B25" s="21"/>
      <c r="AG25" s="26"/>
    </row>
    <row r="26" spans="2:33" ht="16.899999999999999" customHeight="1">
      <c r="B26" s="21"/>
      <c r="C26" s="29" t="s">
        <v>179</v>
      </c>
      <c r="D26" s="29"/>
      <c r="E26" s="29" t="s">
        <v>180</v>
      </c>
      <c r="AG26" s="26"/>
    </row>
    <row r="27" spans="2:33" ht="16.899999999999999" customHeight="1">
      <c r="B27" s="21"/>
      <c r="AG27" s="26"/>
    </row>
    <row r="28" spans="2:33" ht="37.15" customHeight="1">
      <c r="B28" s="21"/>
      <c r="E28" s="416" t="s">
        <v>148</v>
      </c>
      <c r="F28" s="416"/>
      <c r="G28" s="416"/>
      <c r="H28" s="416"/>
      <c r="I28" s="416" t="s">
        <v>135</v>
      </c>
      <c r="J28" s="416"/>
      <c r="K28" s="416"/>
      <c r="L28" s="416"/>
      <c r="M28" s="413" t="s">
        <v>149</v>
      </c>
      <c r="N28" s="413"/>
      <c r="O28" s="413"/>
      <c r="P28" s="413"/>
      <c r="Q28" s="413"/>
      <c r="R28" s="413" t="s">
        <v>150</v>
      </c>
      <c r="S28" s="413"/>
      <c r="T28" s="413"/>
      <c r="U28" s="413"/>
      <c r="V28" s="413"/>
      <c r="W28" s="413" t="s">
        <v>151</v>
      </c>
      <c r="X28" s="413"/>
      <c r="Y28" s="413"/>
      <c r="Z28" s="413"/>
      <c r="AA28" s="413"/>
      <c r="AB28" s="413" t="s">
        <v>152</v>
      </c>
      <c r="AC28" s="413"/>
      <c r="AD28" s="413"/>
      <c r="AE28" s="413"/>
      <c r="AF28" s="413"/>
      <c r="AG28" s="26"/>
    </row>
    <row r="29" spans="2:33" ht="16.899999999999999" customHeight="1">
      <c r="B29" s="21"/>
      <c r="E29" s="247" t="s">
        <v>153</v>
      </c>
      <c r="F29" s="247"/>
      <c r="G29" s="247"/>
      <c r="H29" s="247"/>
      <c r="I29" s="379" t="s">
        <v>154</v>
      </c>
      <c r="J29" s="379"/>
      <c r="K29" s="379"/>
      <c r="L29" s="379"/>
      <c r="M29" s="397">
        <f>1.5*$L$9</f>
        <v>1.7999999999999998</v>
      </c>
      <c r="N29" s="397"/>
      <c r="O29" s="397"/>
      <c r="P29" s="397"/>
      <c r="Q29" s="397"/>
      <c r="R29" s="397">
        <f>2*$L$9</f>
        <v>2.4</v>
      </c>
      <c r="S29" s="397"/>
      <c r="T29" s="397"/>
      <c r="U29" s="397"/>
      <c r="V29" s="397"/>
      <c r="W29" s="397">
        <f>2.5*$L$9</f>
        <v>3</v>
      </c>
      <c r="X29" s="397"/>
      <c r="Y29" s="397"/>
      <c r="Z29" s="397"/>
      <c r="AA29" s="397"/>
      <c r="AB29" s="397">
        <f>3*$L$9</f>
        <v>3.5999999999999996</v>
      </c>
      <c r="AC29" s="397"/>
      <c r="AD29" s="397"/>
      <c r="AE29" s="397"/>
      <c r="AF29" s="397"/>
      <c r="AG29" s="26"/>
    </row>
    <row r="30" spans="2:33" ht="16.899999999999999" customHeight="1">
      <c r="B30" s="21"/>
      <c r="E30" s="247"/>
      <c r="F30" s="247"/>
      <c r="G30" s="247"/>
      <c r="H30" s="247"/>
      <c r="I30" s="379" t="s">
        <v>155</v>
      </c>
      <c r="J30" s="379"/>
      <c r="K30" s="379"/>
      <c r="L30" s="379"/>
      <c r="M30" s="397">
        <f>0.14*$L$10/(((M29/$L$9)^0.02)-1)</f>
        <v>5.6740922188686218</v>
      </c>
      <c r="N30" s="397"/>
      <c r="O30" s="397"/>
      <c r="P30" s="397"/>
      <c r="Q30" s="397"/>
      <c r="R30" s="397">
        <f t="shared" ref="R30" si="3">0.14*$L$10/(((R29/$L$9)^0.02)-1)</f>
        <v>3.3095789166154677</v>
      </c>
      <c r="S30" s="397"/>
      <c r="T30" s="397"/>
      <c r="U30" s="397"/>
      <c r="V30" s="397"/>
      <c r="W30" s="397">
        <f t="shared" ref="W30" si="4">0.14*$L$10/(((W29/$L$9)^0.02)-1)</f>
        <v>2.4980044569266004</v>
      </c>
      <c r="X30" s="397"/>
      <c r="Y30" s="397"/>
      <c r="Z30" s="397"/>
      <c r="AA30" s="397"/>
      <c r="AB30" s="397">
        <f t="shared" ref="AB30" si="5">0.14*$L$10/(((AB29/$L$9)^0.02)-1)</f>
        <v>2.0796372059735591</v>
      </c>
      <c r="AC30" s="397"/>
      <c r="AD30" s="397"/>
      <c r="AE30" s="397"/>
      <c r="AF30" s="397"/>
      <c r="AG30" s="26"/>
    </row>
    <row r="31" spans="2:33" ht="16.899999999999999" customHeight="1">
      <c r="B31" s="21"/>
      <c r="E31" s="247"/>
      <c r="F31" s="247"/>
      <c r="G31" s="247"/>
      <c r="H31" s="247"/>
      <c r="I31" s="379" t="s">
        <v>156</v>
      </c>
      <c r="J31" s="379"/>
      <c r="K31" s="379"/>
      <c r="L31" s="379"/>
      <c r="M31" s="392" t="s">
        <v>46</v>
      </c>
      <c r="N31" s="393"/>
      <c r="O31" s="393"/>
      <c r="P31" s="393"/>
      <c r="Q31" s="393"/>
      <c r="R31" s="393">
        <v>3.319</v>
      </c>
      <c r="S31" s="393"/>
      <c r="T31" s="393"/>
      <c r="U31" s="393"/>
      <c r="V31" s="393"/>
      <c r="W31" s="393" t="s">
        <v>46</v>
      </c>
      <c r="X31" s="393"/>
      <c r="Y31" s="393"/>
      <c r="Z31" s="393"/>
      <c r="AA31" s="393"/>
      <c r="AB31" s="393">
        <v>2.105</v>
      </c>
      <c r="AC31" s="393"/>
      <c r="AD31" s="393"/>
      <c r="AE31" s="393"/>
      <c r="AF31" s="393"/>
      <c r="AG31" s="26"/>
    </row>
    <row r="32" spans="2:33" ht="16.899999999999999" customHeight="1">
      <c r="B32" s="21"/>
      <c r="E32" s="247"/>
      <c r="F32" s="247"/>
      <c r="G32" s="247"/>
      <c r="H32" s="247"/>
      <c r="I32" s="379" t="s">
        <v>142</v>
      </c>
      <c r="J32" s="379"/>
      <c r="K32" s="379"/>
      <c r="L32" s="379"/>
      <c r="M32" s="380">
        <f>IFERROR(((M31-M30)/M30),0)</f>
        <v>0</v>
      </c>
      <c r="N32" s="380"/>
      <c r="O32" s="380"/>
      <c r="P32" s="380"/>
      <c r="Q32" s="380"/>
      <c r="R32" s="380">
        <f t="shared" ref="R32" si="6">IFERROR(((R31-R30)/R30),0)</f>
        <v>2.8466108897523246E-3</v>
      </c>
      <c r="S32" s="380"/>
      <c r="T32" s="380"/>
      <c r="U32" s="380"/>
      <c r="V32" s="380"/>
      <c r="W32" s="380">
        <f t="shared" ref="W32" si="7">IFERROR(((W31-W30)/W30),0)</f>
        <v>0</v>
      </c>
      <c r="X32" s="380"/>
      <c r="Y32" s="380"/>
      <c r="Z32" s="380"/>
      <c r="AA32" s="380"/>
      <c r="AB32" s="380">
        <f>IFERROR(((AB31-AB30)/AB30),0)</f>
        <v>1.2195778164378251E-2</v>
      </c>
      <c r="AC32" s="380"/>
      <c r="AD32" s="380"/>
      <c r="AE32" s="380"/>
      <c r="AF32" s="380"/>
      <c r="AG32" s="26"/>
    </row>
    <row r="33" spans="2:33" ht="16.899999999999999" customHeight="1">
      <c r="B33" s="21"/>
      <c r="E33" s="247" t="s">
        <v>157</v>
      </c>
      <c r="F33" s="247"/>
      <c r="G33" s="247"/>
      <c r="H33" s="247"/>
      <c r="I33" s="379" t="s">
        <v>154</v>
      </c>
      <c r="J33" s="379"/>
      <c r="K33" s="379"/>
      <c r="L33" s="379"/>
      <c r="M33" s="397">
        <f>1.5*$L$9</f>
        <v>1.7999999999999998</v>
      </c>
      <c r="N33" s="397"/>
      <c r="O33" s="397"/>
      <c r="P33" s="397"/>
      <c r="Q33" s="397"/>
      <c r="R33" s="397">
        <f>2*$L$9</f>
        <v>2.4</v>
      </c>
      <c r="S33" s="397"/>
      <c r="T33" s="397"/>
      <c r="U33" s="397"/>
      <c r="V33" s="397"/>
      <c r="W33" s="397">
        <f>2.5*$L$9</f>
        <v>3</v>
      </c>
      <c r="X33" s="397"/>
      <c r="Y33" s="397"/>
      <c r="Z33" s="397"/>
      <c r="AA33" s="397"/>
      <c r="AB33" s="397">
        <f>3*$L$9</f>
        <v>3.5999999999999996</v>
      </c>
      <c r="AC33" s="397"/>
      <c r="AD33" s="397"/>
      <c r="AE33" s="397"/>
      <c r="AF33" s="397"/>
      <c r="AG33" s="50">
        <f>COUNTIF(L33:AF33,1)</f>
        <v>0</v>
      </c>
    </row>
    <row r="34" spans="2:33" ht="16.899999999999999" customHeight="1">
      <c r="B34" s="21"/>
      <c r="E34" s="247"/>
      <c r="F34" s="247"/>
      <c r="G34" s="247"/>
      <c r="H34" s="247"/>
      <c r="I34" s="379" t="s">
        <v>155</v>
      </c>
      <c r="J34" s="379"/>
      <c r="K34" s="379"/>
      <c r="L34" s="379"/>
      <c r="M34" s="397">
        <f>0.14*$L$10/(((M33/$L$9)^0.02)-1)</f>
        <v>5.6740922188686218</v>
      </c>
      <c r="N34" s="397"/>
      <c r="O34" s="397"/>
      <c r="P34" s="397"/>
      <c r="Q34" s="397"/>
      <c r="R34" s="397">
        <f t="shared" ref="R34" si="8">0.14*$L$10/(((R33/$L$9)^0.02)-1)</f>
        <v>3.3095789166154677</v>
      </c>
      <c r="S34" s="397"/>
      <c r="T34" s="397"/>
      <c r="U34" s="397"/>
      <c r="V34" s="397"/>
      <c r="W34" s="397">
        <f t="shared" ref="W34" si="9">0.14*$L$10/(((W33/$L$9)^0.02)-1)</f>
        <v>2.4980044569266004</v>
      </c>
      <c r="X34" s="397"/>
      <c r="Y34" s="397"/>
      <c r="Z34" s="397"/>
      <c r="AA34" s="397"/>
      <c r="AB34" s="397">
        <f t="shared" ref="AB34" si="10">0.14*$L$10/(((AB33/$L$9)^0.02)-1)</f>
        <v>2.0796372059735591</v>
      </c>
      <c r="AC34" s="397"/>
      <c r="AD34" s="397"/>
      <c r="AE34" s="397"/>
      <c r="AF34" s="397"/>
      <c r="AG34" s="50"/>
    </row>
    <row r="35" spans="2:33" ht="16.899999999999999" customHeight="1">
      <c r="B35" s="21"/>
      <c r="E35" s="247"/>
      <c r="F35" s="247"/>
      <c r="G35" s="247"/>
      <c r="H35" s="247"/>
      <c r="I35" s="379" t="s">
        <v>156</v>
      </c>
      <c r="J35" s="379"/>
      <c r="K35" s="379"/>
      <c r="L35" s="379"/>
      <c r="M35" s="392" t="s">
        <v>46</v>
      </c>
      <c r="N35" s="393"/>
      <c r="O35" s="393"/>
      <c r="P35" s="393"/>
      <c r="Q35" s="393"/>
      <c r="R35" s="393">
        <v>3.3140000000000001</v>
      </c>
      <c r="S35" s="393"/>
      <c r="T35" s="393"/>
      <c r="U35" s="393"/>
      <c r="V35" s="393"/>
      <c r="W35" s="393" t="s">
        <v>46</v>
      </c>
      <c r="X35" s="393"/>
      <c r="Y35" s="393"/>
      <c r="Z35" s="393"/>
      <c r="AA35" s="393"/>
      <c r="AB35" s="393">
        <v>2.1030000000000002</v>
      </c>
      <c r="AC35" s="393"/>
      <c r="AD35" s="393"/>
      <c r="AE35" s="393"/>
      <c r="AF35" s="393"/>
      <c r="AG35" s="50"/>
    </row>
    <row r="36" spans="2:33" ht="16.899999999999999" customHeight="1">
      <c r="B36" s="21"/>
      <c r="E36" s="247"/>
      <c r="F36" s="247"/>
      <c r="G36" s="247"/>
      <c r="H36" s="247"/>
      <c r="I36" s="379" t="s">
        <v>142</v>
      </c>
      <c r="J36" s="379"/>
      <c r="K36" s="379"/>
      <c r="L36" s="379"/>
      <c r="M36" s="380">
        <f>IFERROR(((M35-M34)/M34),0)</f>
        <v>0</v>
      </c>
      <c r="N36" s="380"/>
      <c r="O36" s="380"/>
      <c r="P36" s="380"/>
      <c r="Q36" s="380"/>
      <c r="R36" s="380">
        <f t="shared" ref="R36" si="11">IFERROR(((R35-R34)/R34),0)</f>
        <v>1.3358446787102474E-3</v>
      </c>
      <c r="S36" s="380"/>
      <c r="T36" s="380"/>
      <c r="U36" s="380"/>
      <c r="V36" s="380"/>
      <c r="W36" s="380">
        <f t="shared" ref="W36" si="12">IFERROR(((W35-W34)/W34),0)</f>
        <v>0</v>
      </c>
      <c r="X36" s="380"/>
      <c r="Y36" s="380"/>
      <c r="Z36" s="380"/>
      <c r="AA36" s="380"/>
      <c r="AB36" s="380">
        <f>IFERROR(((AB35-AB34)/AB34),0)</f>
        <v>1.1234071961846882E-2</v>
      </c>
      <c r="AC36" s="380"/>
      <c r="AD36" s="380"/>
      <c r="AE36" s="380"/>
      <c r="AF36" s="380"/>
      <c r="AG36" s="50"/>
    </row>
    <row r="37" spans="2:33" ht="16.899999999999999" customHeight="1">
      <c r="B37" s="21"/>
      <c r="E37" s="247" t="s">
        <v>158</v>
      </c>
      <c r="F37" s="247"/>
      <c r="G37" s="247"/>
      <c r="H37" s="247"/>
      <c r="I37" s="379" t="s">
        <v>154</v>
      </c>
      <c r="J37" s="379"/>
      <c r="K37" s="379"/>
      <c r="L37" s="379"/>
      <c r="M37" s="397">
        <f>1.5*$L$9</f>
        <v>1.7999999999999998</v>
      </c>
      <c r="N37" s="397"/>
      <c r="O37" s="397"/>
      <c r="P37" s="397"/>
      <c r="Q37" s="397"/>
      <c r="R37" s="397">
        <f>2*$L$9</f>
        <v>2.4</v>
      </c>
      <c r="S37" s="397"/>
      <c r="T37" s="397"/>
      <c r="U37" s="397"/>
      <c r="V37" s="397"/>
      <c r="W37" s="397">
        <f>2.5*$L$9</f>
        <v>3</v>
      </c>
      <c r="X37" s="397"/>
      <c r="Y37" s="397"/>
      <c r="Z37" s="397"/>
      <c r="AA37" s="397"/>
      <c r="AB37" s="397">
        <f>3*$L$9</f>
        <v>3.5999999999999996</v>
      </c>
      <c r="AC37" s="397"/>
      <c r="AD37" s="397"/>
      <c r="AE37" s="397"/>
      <c r="AF37" s="397"/>
      <c r="AG37" s="50"/>
    </row>
    <row r="38" spans="2:33" ht="16.899999999999999" customHeight="1">
      <c r="B38" s="21"/>
      <c r="E38" s="247"/>
      <c r="F38" s="247"/>
      <c r="G38" s="247"/>
      <c r="H38" s="247"/>
      <c r="I38" s="379" t="s">
        <v>155</v>
      </c>
      <c r="J38" s="379"/>
      <c r="K38" s="379"/>
      <c r="L38" s="379"/>
      <c r="M38" s="397">
        <f>0.14*$L$10/(((M37/$L$9)^0.02)-1)</f>
        <v>5.6740922188686218</v>
      </c>
      <c r="N38" s="397"/>
      <c r="O38" s="397"/>
      <c r="P38" s="397"/>
      <c r="Q38" s="397"/>
      <c r="R38" s="397">
        <f t="shared" ref="R38" si="13">0.14*$L$10/(((R37/$L$9)^0.02)-1)</f>
        <v>3.3095789166154677</v>
      </c>
      <c r="S38" s="397"/>
      <c r="T38" s="397"/>
      <c r="U38" s="397"/>
      <c r="V38" s="397"/>
      <c r="W38" s="397">
        <f t="shared" ref="W38" si="14">0.14*$L$10/(((W37/$L$9)^0.02)-1)</f>
        <v>2.4980044569266004</v>
      </c>
      <c r="X38" s="397"/>
      <c r="Y38" s="397"/>
      <c r="Z38" s="397"/>
      <c r="AA38" s="397"/>
      <c r="AB38" s="397">
        <f t="shared" ref="AB38" si="15">0.14*$L$10/(((AB37/$L$9)^0.02)-1)</f>
        <v>2.0796372059735591</v>
      </c>
      <c r="AC38" s="397"/>
      <c r="AD38" s="397"/>
      <c r="AE38" s="397"/>
      <c r="AF38" s="397"/>
      <c r="AG38" s="50"/>
    </row>
    <row r="39" spans="2:33" ht="16.899999999999999" customHeight="1">
      <c r="B39" s="21"/>
      <c r="E39" s="247"/>
      <c r="F39" s="247"/>
      <c r="G39" s="247"/>
      <c r="H39" s="247"/>
      <c r="I39" s="379" t="s">
        <v>156</v>
      </c>
      <c r="J39" s="379"/>
      <c r="K39" s="379"/>
      <c r="L39" s="379"/>
      <c r="M39" s="392" t="s">
        <v>46</v>
      </c>
      <c r="N39" s="393"/>
      <c r="O39" s="393"/>
      <c r="P39" s="393"/>
      <c r="Q39" s="393"/>
      <c r="R39" s="393">
        <v>3.319</v>
      </c>
      <c r="S39" s="393"/>
      <c r="T39" s="393"/>
      <c r="U39" s="393"/>
      <c r="V39" s="393"/>
      <c r="W39" s="393" t="s">
        <v>46</v>
      </c>
      <c r="X39" s="393"/>
      <c r="Y39" s="393"/>
      <c r="Z39" s="393"/>
      <c r="AA39" s="393"/>
      <c r="AB39" s="393">
        <v>2.1040000000000001</v>
      </c>
      <c r="AC39" s="393"/>
      <c r="AD39" s="393"/>
      <c r="AE39" s="393"/>
      <c r="AF39" s="393"/>
      <c r="AG39" s="50"/>
    </row>
    <row r="40" spans="2:33" ht="16.899999999999999" customHeight="1">
      <c r="B40" s="21"/>
      <c r="E40" s="247"/>
      <c r="F40" s="247"/>
      <c r="G40" s="247"/>
      <c r="H40" s="247"/>
      <c r="I40" s="379" t="s">
        <v>142</v>
      </c>
      <c r="J40" s="379"/>
      <c r="K40" s="379"/>
      <c r="L40" s="379"/>
      <c r="M40" s="380">
        <f>IFERROR(((M39-M38)/M38),0)</f>
        <v>0</v>
      </c>
      <c r="N40" s="380"/>
      <c r="O40" s="380"/>
      <c r="P40" s="380"/>
      <c r="Q40" s="380"/>
      <c r="R40" s="380">
        <f t="shared" ref="R40" si="16">IFERROR(((R39-R38)/R38),0)</f>
        <v>2.8466108897523246E-3</v>
      </c>
      <c r="S40" s="380"/>
      <c r="T40" s="380"/>
      <c r="U40" s="380"/>
      <c r="V40" s="380"/>
      <c r="W40" s="380">
        <f t="shared" ref="W40" si="17">IFERROR(((W39-W38)/W38),0)</f>
        <v>0</v>
      </c>
      <c r="X40" s="380"/>
      <c r="Y40" s="380"/>
      <c r="Z40" s="380"/>
      <c r="AA40" s="380"/>
      <c r="AB40" s="380">
        <f>IFERROR(((AB39-AB38)/AB38),0)</f>
        <v>1.1714925063112567E-2</v>
      </c>
      <c r="AC40" s="380"/>
      <c r="AD40" s="380"/>
      <c r="AE40" s="380"/>
      <c r="AF40" s="380"/>
      <c r="AG40" s="50"/>
    </row>
    <row r="41" spans="2:33" ht="16.899999999999999" customHeight="1">
      <c r="B41" s="21"/>
      <c r="E41" s="247" t="s">
        <v>139</v>
      </c>
      <c r="F41" s="247"/>
      <c r="G41" s="247"/>
      <c r="H41" s="247"/>
      <c r="I41" s="379" t="s">
        <v>154</v>
      </c>
      <c r="J41" s="379"/>
      <c r="K41" s="379"/>
      <c r="L41" s="379"/>
      <c r="M41" s="397">
        <f>1.5*$L$11</f>
        <v>0.30000000000000004</v>
      </c>
      <c r="N41" s="397"/>
      <c r="O41" s="397"/>
      <c r="P41" s="397"/>
      <c r="Q41" s="397"/>
      <c r="R41" s="397">
        <f>2*$L$11</f>
        <v>0.4</v>
      </c>
      <c r="S41" s="397"/>
      <c r="T41" s="397"/>
      <c r="U41" s="397"/>
      <c r="V41" s="397"/>
      <c r="W41" s="397">
        <f>2.5*$L$11</f>
        <v>0.5</v>
      </c>
      <c r="X41" s="397"/>
      <c r="Y41" s="397"/>
      <c r="Z41" s="397"/>
      <c r="AA41" s="397"/>
      <c r="AB41" s="397">
        <f>3*$L$11</f>
        <v>0.60000000000000009</v>
      </c>
      <c r="AC41" s="397"/>
      <c r="AD41" s="397"/>
      <c r="AE41" s="397"/>
      <c r="AF41" s="397"/>
      <c r="AG41" s="50">
        <f>COUNTIF(L41:AF41,1)</f>
        <v>0</v>
      </c>
    </row>
    <row r="42" spans="2:33" ht="16.899999999999999" customHeight="1">
      <c r="B42" s="21"/>
      <c r="E42" s="247"/>
      <c r="F42" s="247"/>
      <c r="G42" s="247"/>
      <c r="H42" s="247"/>
      <c r="I42" s="379" t="s">
        <v>155</v>
      </c>
      <c r="J42" s="379"/>
      <c r="K42" s="379"/>
      <c r="L42" s="379"/>
      <c r="M42" s="397">
        <f>0.14*$L$12/(((M41/$L$11)^0.02)-1)</f>
        <v>13.755375076045144</v>
      </c>
      <c r="N42" s="397"/>
      <c r="O42" s="397"/>
      <c r="P42" s="397"/>
      <c r="Q42" s="397"/>
      <c r="R42" s="397">
        <f t="shared" ref="R42" si="18">0.14*$L$12/(((R41/$L$11)^0.02)-1)</f>
        <v>8.0232216160374978</v>
      </c>
      <c r="S42" s="397"/>
      <c r="T42" s="397"/>
      <c r="U42" s="397"/>
      <c r="V42" s="397"/>
      <c r="W42" s="397">
        <f t="shared" ref="W42" si="19">0.14*$L$12/(((W41/$L$11)^0.02)-1)</f>
        <v>6.0557683804281224</v>
      </c>
      <c r="X42" s="397"/>
      <c r="Y42" s="397"/>
      <c r="Z42" s="397"/>
      <c r="AA42" s="397"/>
      <c r="AB42" s="397">
        <f t="shared" ref="AB42" si="20">0.14*$L$12/(((AB41/$L$11)^0.02)-1)</f>
        <v>5.0415447417540831</v>
      </c>
      <c r="AC42" s="397"/>
      <c r="AD42" s="397"/>
      <c r="AE42" s="397"/>
      <c r="AF42" s="397"/>
      <c r="AG42" s="50"/>
    </row>
    <row r="43" spans="2:33" ht="16.899999999999999" customHeight="1">
      <c r="B43" s="21"/>
      <c r="E43" s="247"/>
      <c r="F43" s="247"/>
      <c r="G43" s="247"/>
      <c r="H43" s="247"/>
      <c r="I43" s="379" t="s">
        <v>156</v>
      </c>
      <c r="J43" s="379"/>
      <c r="K43" s="379"/>
      <c r="L43" s="379"/>
      <c r="M43" s="392" t="s">
        <v>46</v>
      </c>
      <c r="N43" s="393"/>
      <c r="O43" s="393"/>
      <c r="P43" s="393"/>
      <c r="Q43" s="393"/>
      <c r="R43" s="393">
        <v>8.0190000000000001</v>
      </c>
      <c r="S43" s="393"/>
      <c r="T43" s="393"/>
      <c r="U43" s="393"/>
      <c r="V43" s="393"/>
      <c r="W43" s="393" t="s">
        <v>46</v>
      </c>
      <c r="X43" s="393"/>
      <c r="Y43" s="393"/>
      <c r="Z43" s="393"/>
      <c r="AA43" s="393"/>
      <c r="AB43" s="393">
        <v>5.0570000000000004</v>
      </c>
      <c r="AC43" s="393"/>
      <c r="AD43" s="393"/>
      <c r="AE43" s="393"/>
      <c r="AF43" s="393"/>
      <c r="AG43" s="50"/>
    </row>
    <row r="44" spans="2:33" ht="16.899999999999999" customHeight="1">
      <c r="B44" s="21"/>
      <c r="E44" s="247"/>
      <c r="F44" s="247"/>
      <c r="G44" s="247"/>
      <c r="H44" s="247"/>
      <c r="I44" s="379" t="s">
        <v>142</v>
      </c>
      <c r="J44" s="379"/>
      <c r="K44" s="379"/>
      <c r="L44" s="379"/>
      <c r="M44" s="380">
        <f>IFERROR(((M43-M42)/M42),0)</f>
        <v>0</v>
      </c>
      <c r="N44" s="380"/>
      <c r="O44" s="380"/>
      <c r="P44" s="380"/>
      <c r="Q44" s="380"/>
      <c r="R44" s="380">
        <f t="shared" ref="R44" si="21">IFERROR(((R43-R42)/R42),0)</f>
        <v>-5.2617467639921422E-4</v>
      </c>
      <c r="S44" s="380"/>
      <c r="T44" s="380"/>
      <c r="U44" s="380"/>
      <c r="V44" s="380"/>
      <c r="W44" s="380">
        <f t="shared" ref="W44" si="22">IFERROR(((W43-W42)/W42),0)</f>
        <v>0</v>
      </c>
      <c r="X44" s="380"/>
      <c r="Y44" s="380"/>
      <c r="Z44" s="380"/>
      <c r="AA44" s="380"/>
      <c r="AB44" s="380">
        <f>IFERROR(((AB43-AB42)/AB42),0)</f>
        <v>3.0655799040950359E-3</v>
      </c>
      <c r="AC44" s="380"/>
      <c r="AD44" s="380"/>
      <c r="AE44" s="380"/>
      <c r="AF44" s="380"/>
      <c r="AG44" s="50"/>
    </row>
    <row r="45" spans="2:33" ht="16.899999999999999" customHeight="1">
      <c r="B45" s="21"/>
      <c r="E45" s="247" t="s">
        <v>159</v>
      </c>
      <c r="F45" s="247"/>
      <c r="G45" s="247"/>
      <c r="H45" s="247"/>
      <c r="I45" s="247"/>
      <c r="J45" s="247"/>
      <c r="K45" s="247"/>
      <c r="L45" s="247"/>
      <c r="M45" s="380">
        <f>MAX(ABS(M32),ABS(M36),ABS(M40),ABS(M44))</f>
        <v>0</v>
      </c>
      <c r="N45" s="380"/>
      <c r="O45" s="380"/>
      <c r="P45" s="380"/>
      <c r="Q45" s="380"/>
      <c r="R45" s="380">
        <f t="shared" ref="R45" si="23">MAX(ABS(R32),ABS(R36),ABS(R40),ABS(R44))</f>
        <v>2.8466108897523246E-3</v>
      </c>
      <c r="S45" s="380"/>
      <c r="T45" s="380"/>
      <c r="U45" s="380"/>
      <c r="V45" s="380"/>
      <c r="W45" s="380">
        <f t="shared" ref="W45" si="24">MAX(ABS(W32),ABS(W36),ABS(W40),ABS(W44))</f>
        <v>0</v>
      </c>
      <c r="X45" s="380"/>
      <c r="Y45" s="380"/>
      <c r="Z45" s="380"/>
      <c r="AA45" s="380"/>
      <c r="AB45" s="380">
        <f t="shared" ref="AB45" si="25">MAX(ABS(AB32),ABS(AB36),ABS(AB40),ABS(AB44))</f>
        <v>1.2195778164378251E-2</v>
      </c>
      <c r="AC45" s="380"/>
      <c r="AD45" s="380"/>
      <c r="AE45" s="380"/>
      <c r="AF45" s="380"/>
      <c r="AG45" s="50"/>
    </row>
    <row r="46" spans="2:33" ht="16.899999999999999" customHeight="1">
      <c r="B46" s="21"/>
      <c r="E46" s="247" t="s">
        <v>160</v>
      </c>
      <c r="F46" s="247"/>
      <c r="G46" s="247"/>
      <c r="H46" s="247"/>
      <c r="I46" s="247"/>
      <c r="J46" s="247"/>
      <c r="K46" s="247"/>
      <c r="L46" s="247"/>
      <c r="M46" s="382">
        <f>IF((ABS(M45)&lt;=0.05),9,IF((ABS(M45)&lt;=0.1),6,1))</f>
        <v>9</v>
      </c>
      <c r="N46" s="382"/>
      <c r="O46" s="382"/>
      <c r="P46" s="382"/>
      <c r="Q46" s="382"/>
      <c r="R46" s="382">
        <f t="shared" ref="R46" si="26">IF((ABS(R45)&lt;=0.05),9,IF((ABS(R45)&lt;=0.1),6,1))</f>
        <v>9</v>
      </c>
      <c r="S46" s="382"/>
      <c r="T46" s="382"/>
      <c r="U46" s="382"/>
      <c r="V46" s="382"/>
      <c r="W46" s="382">
        <f t="shared" ref="W46" si="27">IF((ABS(W45)&lt;=0.05),9,IF((ABS(W45)&lt;=0.1),6,1))</f>
        <v>9</v>
      </c>
      <c r="X46" s="382"/>
      <c r="Y46" s="382"/>
      <c r="Z46" s="382"/>
      <c r="AA46" s="382"/>
      <c r="AB46" s="382">
        <f t="shared" ref="AB46" si="28">IF((ABS(AB45)&lt;=0.05),9,IF((ABS(AB45)&lt;=0.1),6,1))</f>
        <v>9</v>
      </c>
      <c r="AC46" s="382"/>
      <c r="AD46" s="382"/>
      <c r="AE46" s="382"/>
      <c r="AF46" s="382"/>
      <c r="AG46" s="50"/>
    </row>
    <row r="47" spans="2:33" ht="16.899999999999999" customHeight="1">
      <c r="B47" s="21"/>
      <c r="AG47" s="26"/>
    </row>
    <row r="48" spans="2:33" ht="16.899999999999999" customHeight="1">
      <c r="B48" s="21"/>
      <c r="E48" s="253" t="s">
        <v>161</v>
      </c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5"/>
      <c r="S48" s="388">
        <f>MIN(M46:AF46)</f>
        <v>9</v>
      </c>
      <c r="T48" s="389"/>
      <c r="U48" s="389"/>
      <c r="V48" s="389"/>
      <c r="AG48" s="26"/>
    </row>
    <row r="49" spans="2:36" ht="16.899999999999999" customHeight="1">
      <c r="B49" s="21"/>
      <c r="AG49" s="26"/>
    </row>
    <row r="50" spans="2:36" ht="16.899999999999999" customHeight="1">
      <c r="B50" s="21"/>
      <c r="C50" s="29" t="s">
        <v>181</v>
      </c>
      <c r="D50" s="29"/>
      <c r="E50" s="29" t="s">
        <v>182</v>
      </c>
      <c r="AG50" s="26"/>
      <c r="AJ50"/>
    </row>
    <row r="51" spans="2:36" ht="16.899999999999999" customHeight="1">
      <c r="B51" s="21"/>
      <c r="AG51" s="26"/>
    </row>
    <row r="52" spans="2:36" ht="37.15" customHeight="1">
      <c r="B52" s="21"/>
      <c r="E52" s="418" t="s">
        <v>51</v>
      </c>
      <c r="F52" s="418"/>
      <c r="G52" s="416" t="s">
        <v>89</v>
      </c>
      <c r="H52" s="416"/>
      <c r="I52" s="416"/>
      <c r="J52" s="413" t="s">
        <v>53</v>
      </c>
      <c r="K52" s="413"/>
      <c r="L52" s="413"/>
      <c r="M52" s="413"/>
      <c r="N52" s="413" t="s">
        <v>54</v>
      </c>
      <c r="O52" s="413"/>
      <c r="P52" s="413"/>
      <c r="Q52" s="419"/>
      <c r="R52" s="420" t="s">
        <v>55</v>
      </c>
      <c r="S52" s="420"/>
      <c r="T52" s="420"/>
      <c r="U52" s="420"/>
      <c r="V52" s="420" t="s">
        <v>56</v>
      </c>
      <c r="W52" s="420"/>
      <c r="X52" s="420"/>
      <c r="Y52" s="420"/>
      <c r="Z52" s="417" t="s">
        <v>57</v>
      </c>
      <c r="AA52" s="413"/>
      <c r="AB52" s="413"/>
      <c r="AC52" s="413"/>
      <c r="AD52" s="413"/>
      <c r="AE52" s="413"/>
      <c r="AF52" s="413"/>
      <c r="AG52" s="26"/>
    </row>
    <row r="53" spans="2:36" ht="16.899999999999999" customHeight="1">
      <c r="B53" s="21"/>
      <c r="E53" s="247">
        <v>1</v>
      </c>
      <c r="F53" s="247"/>
      <c r="G53" s="247" t="s">
        <v>164</v>
      </c>
      <c r="H53" s="247"/>
      <c r="I53" s="247"/>
      <c r="J53" s="243"/>
      <c r="K53" s="244"/>
      <c r="L53" s="244"/>
      <c r="M53" s="244"/>
      <c r="N53" s="244"/>
      <c r="O53" s="244"/>
      <c r="P53" s="244"/>
      <c r="Q53" s="244"/>
      <c r="R53" s="249">
        <f>IFERROR(((N53-J53)/J53),0)</f>
        <v>0</v>
      </c>
      <c r="S53" s="249"/>
      <c r="T53" s="249"/>
      <c r="U53" s="249"/>
      <c r="V53" s="256">
        <f>IF((ABS(R53)&lt;=0.05),9,IF((ABS(R53)&lt;=0.1),6,1))</f>
        <v>9</v>
      </c>
      <c r="W53" s="256"/>
      <c r="X53" s="256" t="e">
        <f>(P53-J53)/J53</f>
        <v>#DIV/0!</v>
      </c>
      <c r="Y53" s="256"/>
      <c r="Z53" s="243"/>
      <c r="AA53" s="244"/>
      <c r="AB53" s="244"/>
      <c r="AC53" s="244"/>
      <c r="AD53" s="244"/>
      <c r="AE53" s="244"/>
      <c r="AF53" s="244"/>
      <c r="AG53" s="26"/>
    </row>
    <row r="54" spans="2:36" ht="16.899999999999999" customHeight="1">
      <c r="B54" s="21"/>
      <c r="E54" s="247">
        <v>2</v>
      </c>
      <c r="F54" s="247"/>
      <c r="G54" s="247" t="s">
        <v>183</v>
      </c>
      <c r="H54" s="247"/>
      <c r="I54" s="247"/>
      <c r="J54" s="243"/>
      <c r="K54" s="244"/>
      <c r="L54" s="244"/>
      <c r="M54" s="244"/>
      <c r="N54" s="244"/>
      <c r="O54" s="244"/>
      <c r="P54" s="244"/>
      <c r="Q54" s="244"/>
      <c r="R54" s="249">
        <f t="shared" ref="R54" si="29">IFERROR(((N54-J54)/J54),0)</f>
        <v>0</v>
      </c>
      <c r="S54" s="249"/>
      <c r="T54" s="249"/>
      <c r="U54" s="249"/>
      <c r="V54" s="256">
        <f>IF((ABS(R54)&lt;=0.05),9,IF((ABS(R54)&lt;=0.1),6,1))</f>
        <v>9</v>
      </c>
      <c r="W54" s="256"/>
      <c r="X54" s="256" t="e">
        <f t="shared" ref="X54" si="30">(P54-J54)/J54</f>
        <v>#DIV/0!</v>
      </c>
      <c r="Y54" s="256"/>
      <c r="Z54" s="243"/>
      <c r="AA54" s="244"/>
      <c r="AB54" s="244"/>
      <c r="AC54" s="244"/>
      <c r="AD54" s="244"/>
      <c r="AE54" s="244"/>
      <c r="AF54" s="244"/>
      <c r="AG54" s="26"/>
    </row>
    <row r="55" spans="2:36" ht="16.899999999999999" customHeight="1">
      <c r="B55" s="21"/>
      <c r="E55" s="247">
        <v>3</v>
      </c>
      <c r="F55" s="247"/>
      <c r="G55" s="247" t="s">
        <v>184</v>
      </c>
      <c r="H55" s="247"/>
      <c r="I55" s="247"/>
      <c r="J55" s="243"/>
      <c r="K55" s="244"/>
      <c r="L55" s="244"/>
      <c r="M55" s="244"/>
      <c r="N55" s="244"/>
      <c r="O55" s="244"/>
      <c r="P55" s="244"/>
      <c r="Q55" s="244"/>
      <c r="R55" s="249">
        <f>IFERROR(((N55-J55)/J55),0)</f>
        <v>0</v>
      </c>
      <c r="S55" s="249"/>
      <c r="T55" s="249"/>
      <c r="U55" s="249"/>
      <c r="V55" s="256">
        <f>IF((ABS(R55)&lt;=0.05),9,IF((ABS(R55)&lt;=0.1),6,1))</f>
        <v>9</v>
      </c>
      <c r="W55" s="256"/>
      <c r="X55" s="256" t="e">
        <f>(P55-J55)/J55</f>
        <v>#DIV/0!</v>
      </c>
      <c r="Y55" s="256"/>
      <c r="Z55" s="243"/>
      <c r="AA55" s="244"/>
      <c r="AB55" s="244"/>
      <c r="AC55" s="244"/>
      <c r="AD55" s="244"/>
      <c r="AE55" s="244"/>
      <c r="AF55" s="244"/>
      <c r="AG55" s="26"/>
    </row>
    <row r="56" spans="2:36" ht="16.899999999999999" customHeight="1">
      <c r="B56" s="21"/>
      <c r="E56" s="247">
        <v>4</v>
      </c>
      <c r="F56" s="247"/>
      <c r="G56" s="247" t="s">
        <v>185</v>
      </c>
      <c r="H56" s="247"/>
      <c r="I56" s="247"/>
      <c r="J56" s="243"/>
      <c r="K56" s="244"/>
      <c r="L56" s="244"/>
      <c r="M56" s="244"/>
      <c r="N56" s="244"/>
      <c r="O56" s="244"/>
      <c r="P56" s="244"/>
      <c r="Q56" s="244"/>
      <c r="R56" s="249">
        <f t="shared" ref="R56" si="31">IFERROR(((N56-J56)/J56),0)</f>
        <v>0</v>
      </c>
      <c r="S56" s="249"/>
      <c r="T56" s="249"/>
      <c r="U56" s="249"/>
      <c r="V56" s="256">
        <f>IF((ABS(R56)&lt;=0.05),9,IF((ABS(R56)&lt;=0.1),6,1))</f>
        <v>9</v>
      </c>
      <c r="W56" s="256"/>
      <c r="X56" s="256" t="e">
        <f t="shared" ref="X56" si="32">(P56-J56)/J56</f>
        <v>#DIV/0!</v>
      </c>
      <c r="Y56" s="256"/>
      <c r="Z56" s="243"/>
      <c r="AA56" s="244"/>
      <c r="AB56" s="244"/>
      <c r="AC56" s="244"/>
      <c r="AD56" s="244"/>
      <c r="AE56" s="244"/>
      <c r="AF56" s="244"/>
      <c r="AG56" s="26"/>
    </row>
    <row r="57" spans="2:36" ht="16.899999999999999" customHeight="1">
      <c r="B57" s="21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G57" s="26"/>
    </row>
    <row r="58" spans="2:36" ht="16.899999999999999" customHeight="1">
      <c r="B58" s="21"/>
      <c r="E58" s="404" t="s">
        <v>166</v>
      </c>
      <c r="F58" s="404"/>
      <c r="G58" s="404"/>
      <c r="H58" s="404"/>
      <c r="I58" s="404"/>
      <c r="J58" s="404"/>
      <c r="K58" s="404"/>
      <c r="L58" s="404"/>
      <c r="M58" s="404"/>
      <c r="N58" s="404"/>
      <c r="O58" s="404"/>
      <c r="P58" s="404"/>
      <c r="Q58" s="404"/>
      <c r="R58" s="404"/>
      <c r="S58" s="256">
        <f>MIN(V53:V56)</f>
        <v>9</v>
      </c>
      <c r="T58" s="256"/>
      <c r="U58" s="256"/>
      <c r="V58" s="256"/>
      <c r="AG58" s="26"/>
    </row>
    <row r="59" spans="2:36" ht="16.899999999999999" customHeight="1">
      <c r="B59" s="21"/>
      <c r="AG59" s="26"/>
    </row>
    <row r="60" spans="2:36" ht="16.899999999999999" customHeight="1">
      <c r="B60" s="21"/>
      <c r="C60" s="29" t="s">
        <v>186</v>
      </c>
      <c r="D60" s="29"/>
      <c r="E60" s="29" t="s">
        <v>187</v>
      </c>
      <c r="AG60" s="26"/>
      <c r="AJ60"/>
    </row>
    <row r="61" spans="2:36" ht="16.899999999999999" customHeight="1">
      <c r="B61" s="21"/>
      <c r="AG61" s="26"/>
    </row>
    <row r="62" spans="2:36" ht="37.15" customHeight="1">
      <c r="B62" s="21"/>
      <c r="E62" s="418" t="s">
        <v>51</v>
      </c>
      <c r="F62" s="418"/>
      <c r="G62" s="416" t="s">
        <v>89</v>
      </c>
      <c r="H62" s="416"/>
      <c r="I62" s="416"/>
      <c r="J62" s="413" t="s">
        <v>169</v>
      </c>
      <c r="K62" s="413"/>
      <c r="L62" s="413"/>
      <c r="M62" s="413"/>
      <c r="N62" s="413" t="s">
        <v>170</v>
      </c>
      <c r="O62" s="413"/>
      <c r="P62" s="413"/>
      <c r="Q62" s="419"/>
      <c r="R62" s="420" t="s">
        <v>55</v>
      </c>
      <c r="S62" s="420"/>
      <c r="T62" s="420"/>
      <c r="U62" s="420"/>
      <c r="V62" s="420" t="s">
        <v>56</v>
      </c>
      <c r="W62" s="420"/>
      <c r="X62" s="420"/>
      <c r="Y62" s="420"/>
      <c r="Z62" s="417" t="s">
        <v>57</v>
      </c>
      <c r="AA62" s="413"/>
      <c r="AB62" s="413"/>
      <c r="AC62" s="413"/>
      <c r="AD62" s="413"/>
      <c r="AE62" s="413"/>
      <c r="AF62" s="413"/>
      <c r="AG62" s="26"/>
    </row>
    <row r="63" spans="2:36" ht="16.899999999999999" customHeight="1">
      <c r="B63" s="21"/>
      <c r="E63" s="247">
        <v>1</v>
      </c>
      <c r="F63" s="247"/>
      <c r="G63" s="247" t="s">
        <v>164</v>
      </c>
      <c r="H63" s="247"/>
      <c r="I63" s="247"/>
      <c r="J63" s="243"/>
      <c r="K63" s="244"/>
      <c r="L63" s="244"/>
      <c r="M63" s="244"/>
      <c r="N63" s="244"/>
      <c r="O63" s="244"/>
      <c r="P63" s="244"/>
      <c r="Q63" s="244"/>
      <c r="R63" s="249">
        <f>IFERROR(((N63-J63)),0)</f>
        <v>0</v>
      </c>
      <c r="S63" s="249"/>
      <c r="T63" s="249"/>
      <c r="U63" s="249"/>
      <c r="V63" s="256">
        <f>IF((ABS(R63)&lt;=0.05),9,IF((ABS(R63)&lt;=0.1),6,1))</f>
        <v>9</v>
      </c>
      <c r="W63" s="256"/>
      <c r="X63" s="256" t="e">
        <f>(P63-J63)/J63</f>
        <v>#DIV/0!</v>
      </c>
      <c r="Y63" s="256"/>
      <c r="Z63" s="243"/>
      <c r="AA63" s="244"/>
      <c r="AB63" s="244"/>
      <c r="AC63" s="244"/>
      <c r="AD63" s="244"/>
      <c r="AE63" s="244"/>
      <c r="AF63" s="244"/>
      <c r="AG63" s="26"/>
    </row>
    <row r="64" spans="2:36" ht="16.899999999999999" customHeight="1">
      <c r="B64" s="21"/>
      <c r="E64" s="247">
        <v>2</v>
      </c>
      <c r="F64" s="247"/>
      <c r="G64" s="247" t="s">
        <v>183</v>
      </c>
      <c r="H64" s="247"/>
      <c r="I64" s="247"/>
      <c r="J64" s="243"/>
      <c r="K64" s="244"/>
      <c r="L64" s="244"/>
      <c r="M64" s="244"/>
      <c r="N64" s="244"/>
      <c r="O64" s="244"/>
      <c r="P64" s="244"/>
      <c r="Q64" s="244"/>
      <c r="R64" s="249">
        <f t="shared" ref="R64:R66" si="33">IFERROR(((N64-J64)),0)</f>
        <v>0</v>
      </c>
      <c r="S64" s="249"/>
      <c r="T64" s="249"/>
      <c r="U64" s="249"/>
      <c r="V64" s="256">
        <f>IF((ABS(R64)&lt;=0.05),9,IF((ABS(R64)&lt;=0.1),6,1))</f>
        <v>9</v>
      </c>
      <c r="W64" s="256"/>
      <c r="X64" s="256" t="e">
        <f t="shared" ref="X64" si="34">(P64-J64)/J64</f>
        <v>#DIV/0!</v>
      </c>
      <c r="Y64" s="256"/>
      <c r="Z64" s="243"/>
      <c r="AA64" s="244"/>
      <c r="AB64" s="244"/>
      <c r="AC64" s="244"/>
      <c r="AD64" s="244"/>
      <c r="AE64" s="244"/>
      <c r="AF64" s="244"/>
      <c r="AG64" s="26"/>
    </row>
    <row r="65" spans="2:33" ht="16.899999999999999" customHeight="1">
      <c r="B65" s="21"/>
      <c r="E65" s="247">
        <v>3</v>
      </c>
      <c r="F65" s="247"/>
      <c r="G65" s="247" t="s">
        <v>184</v>
      </c>
      <c r="H65" s="247"/>
      <c r="I65" s="247"/>
      <c r="J65" s="243"/>
      <c r="K65" s="244"/>
      <c r="L65" s="244"/>
      <c r="M65" s="244"/>
      <c r="N65" s="244"/>
      <c r="O65" s="244"/>
      <c r="P65" s="244"/>
      <c r="Q65" s="244"/>
      <c r="R65" s="249">
        <f t="shared" si="33"/>
        <v>0</v>
      </c>
      <c r="S65" s="249"/>
      <c r="T65" s="249"/>
      <c r="U65" s="249"/>
      <c r="V65" s="256">
        <f>IF((ABS(R65)&lt;=0.05),9,IF((ABS(R65)&lt;=0.1),6,1))</f>
        <v>9</v>
      </c>
      <c r="W65" s="256"/>
      <c r="X65" s="256" t="e">
        <f>(P65-J65)/J65</f>
        <v>#DIV/0!</v>
      </c>
      <c r="Y65" s="256"/>
      <c r="Z65" s="243"/>
      <c r="AA65" s="244"/>
      <c r="AB65" s="244"/>
      <c r="AC65" s="244"/>
      <c r="AD65" s="244"/>
      <c r="AE65" s="244"/>
      <c r="AF65" s="244"/>
      <c r="AG65" s="26"/>
    </row>
    <row r="66" spans="2:33" ht="16.899999999999999" customHeight="1">
      <c r="B66" s="21"/>
      <c r="E66" s="247">
        <v>4</v>
      </c>
      <c r="F66" s="247"/>
      <c r="G66" s="247" t="s">
        <v>185</v>
      </c>
      <c r="H66" s="247"/>
      <c r="I66" s="247"/>
      <c r="J66" s="243"/>
      <c r="K66" s="244"/>
      <c r="L66" s="244"/>
      <c r="M66" s="244"/>
      <c r="N66" s="244"/>
      <c r="O66" s="244"/>
      <c r="P66" s="244"/>
      <c r="Q66" s="244"/>
      <c r="R66" s="249">
        <f t="shared" si="33"/>
        <v>0</v>
      </c>
      <c r="S66" s="249"/>
      <c r="T66" s="249"/>
      <c r="U66" s="249"/>
      <c r="V66" s="256">
        <f>IF((ABS(R66)&lt;=0.05),9,IF((ABS(R66)&lt;=0.1),6,1))</f>
        <v>9</v>
      </c>
      <c r="W66" s="256"/>
      <c r="X66" s="256" t="e">
        <f t="shared" ref="X66" si="35">(P66-J66)/J66</f>
        <v>#DIV/0!</v>
      </c>
      <c r="Y66" s="256"/>
      <c r="Z66" s="243"/>
      <c r="AA66" s="244"/>
      <c r="AB66" s="244"/>
      <c r="AC66" s="244"/>
      <c r="AD66" s="244"/>
      <c r="AE66" s="244"/>
      <c r="AF66" s="244"/>
      <c r="AG66" s="26"/>
    </row>
    <row r="67" spans="2:33" ht="16.899999999999999" customHeight="1">
      <c r="B67" s="21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G67" s="26"/>
    </row>
    <row r="68" spans="2:33" ht="16.899999999999999" customHeight="1">
      <c r="B68" s="21"/>
      <c r="E68" s="404" t="s">
        <v>188</v>
      </c>
      <c r="F68" s="404"/>
      <c r="G68" s="404"/>
      <c r="H68" s="404"/>
      <c r="I68" s="404"/>
      <c r="J68" s="404"/>
      <c r="K68" s="404"/>
      <c r="L68" s="404"/>
      <c r="M68" s="404"/>
      <c r="N68" s="404"/>
      <c r="O68" s="404"/>
      <c r="P68" s="404"/>
      <c r="Q68" s="404"/>
      <c r="R68" s="404"/>
      <c r="S68" s="256">
        <f>MIN(V63:V66)</f>
        <v>9</v>
      </c>
      <c r="T68" s="256"/>
      <c r="U68" s="256"/>
      <c r="V68" s="256"/>
      <c r="AG68" s="26"/>
    </row>
    <row r="69" spans="2:33" ht="16.899999999999999" customHeight="1">
      <c r="B69" s="21"/>
      <c r="AG69" s="26"/>
    </row>
    <row r="70" spans="2:33" ht="16.899999999999999" customHeight="1">
      <c r="B70" s="21"/>
      <c r="C70" s="29" t="s">
        <v>189</v>
      </c>
      <c r="D70" s="29"/>
      <c r="E70" s="29" t="s">
        <v>117</v>
      </c>
      <c r="AG70" s="26"/>
    </row>
    <row r="71" spans="2:33" ht="16.899999999999999" customHeight="1">
      <c r="B71" s="21"/>
      <c r="E71" s="294" t="s">
        <v>190</v>
      </c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6"/>
    </row>
    <row r="72" spans="2:33" ht="16.899999999999999" customHeight="1">
      <c r="B72" s="21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6"/>
    </row>
    <row r="73" spans="2:33" ht="16.899999999999999" customHeight="1">
      <c r="B73" s="21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6"/>
    </row>
    <row r="74" spans="2:33" ht="16.899999999999999" customHeight="1">
      <c r="B74" s="21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6"/>
    </row>
    <row r="75" spans="2:33" ht="16.899999999999999" customHeight="1">
      <c r="B75" s="21"/>
      <c r="AG75" s="26"/>
    </row>
    <row r="76" spans="2:33" ht="16.899999999999999" customHeight="1">
      <c r="B76" s="21"/>
      <c r="C76" s="29" t="s">
        <v>191</v>
      </c>
      <c r="D76" s="29"/>
      <c r="E76" s="29" t="s">
        <v>120</v>
      </c>
      <c r="F76" s="29"/>
      <c r="AG76" s="26"/>
    </row>
    <row r="77" spans="2:33" ht="16.899999999999999" customHeight="1">
      <c r="B77" s="21"/>
      <c r="E77" s="253" t="s">
        <v>192</v>
      </c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5"/>
      <c r="S77" s="388">
        <f>MIN(S24,S48,S58,S68)</f>
        <v>6</v>
      </c>
      <c r="T77" s="389"/>
      <c r="U77" s="389"/>
      <c r="V77" s="389"/>
      <c r="AG77" s="26"/>
    </row>
    <row r="78" spans="2:33" ht="16.899999999999999" customHeight="1">
      <c r="B78" s="21"/>
      <c r="AG78" s="26"/>
    </row>
    <row r="79" spans="2:33" ht="16.899999999999999" customHeight="1">
      <c r="B79" s="21"/>
      <c r="C79" s="421" t="s">
        <v>19</v>
      </c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 t="s">
        <v>20</v>
      </c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26"/>
    </row>
    <row r="80" spans="2:33" ht="16.899999999999999" customHeight="1">
      <c r="B80" s="21"/>
      <c r="C80" s="41">
        <v>1</v>
      </c>
      <c r="D80" s="294" t="s">
        <v>283</v>
      </c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6"/>
    </row>
    <row r="81" spans="2:33" ht="16.899999999999999" customHeight="1">
      <c r="B81" s="21"/>
      <c r="C81" s="41">
        <v>2</v>
      </c>
      <c r="D81" s="294" t="s">
        <v>124</v>
      </c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6"/>
    </row>
    <row r="82" spans="2:33" ht="16.899999999999999" customHeight="1">
      <c r="B82" s="21"/>
      <c r="C82" s="41">
        <v>3</v>
      </c>
      <c r="D82" s="294" t="s">
        <v>125</v>
      </c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6"/>
    </row>
    <row r="83" spans="2:33" ht="16.899999999999999" customHeight="1">
      <c r="B83" s="21"/>
      <c r="C83" s="41">
        <v>4</v>
      </c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6"/>
    </row>
    <row r="84" spans="2:33" ht="16.899999999999999" customHeight="1">
      <c r="B84" s="21"/>
      <c r="C84" s="41">
        <v>5</v>
      </c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 t="s">
        <v>288</v>
      </c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6"/>
    </row>
    <row r="85" spans="2:33" ht="16.899999999999999" customHeight="1" thickBot="1">
      <c r="B85" s="42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4"/>
    </row>
  </sheetData>
  <sheetProtection algorithmName="SHA-512" hashValue="6YMVf/HTo7lbj7xnyQqp5n7kkIRraQH0k+LzNp5gKQ8qQzxUQUSBM0AR3bChd9uLbaZLNBWGG+yGsLhMF+Rb+A==" saltValue="jHyu/uWqtZd/hmGhy0IrSA==" spinCount="100000" sheet="1" scenarios="1"/>
  <mergeCells count="249">
    <mergeCell ref="D84:M84"/>
    <mergeCell ref="N84:Q84"/>
    <mergeCell ref="R84:AF84"/>
    <mergeCell ref="D80:M80"/>
    <mergeCell ref="N80:Q80"/>
    <mergeCell ref="R80:AF83"/>
    <mergeCell ref="D81:M81"/>
    <mergeCell ref="N81:Q81"/>
    <mergeCell ref="D82:M82"/>
    <mergeCell ref="N82:Q82"/>
    <mergeCell ref="D83:M83"/>
    <mergeCell ref="N83:Q83"/>
    <mergeCell ref="E68:R68"/>
    <mergeCell ref="S68:V68"/>
    <mergeCell ref="E71:AF74"/>
    <mergeCell ref="E77:R77"/>
    <mergeCell ref="S77:V77"/>
    <mergeCell ref="C79:Q79"/>
    <mergeCell ref="R79:AF79"/>
    <mergeCell ref="Z65:AF65"/>
    <mergeCell ref="E66:F66"/>
    <mergeCell ref="G66:I66"/>
    <mergeCell ref="J66:M66"/>
    <mergeCell ref="N66:Q66"/>
    <mergeCell ref="R66:U66"/>
    <mergeCell ref="V66:Y66"/>
    <mergeCell ref="Z66:AF66"/>
    <mergeCell ref="E65:F65"/>
    <mergeCell ref="G65:I65"/>
    <mergeCell ref="J65:M65"/>
    <mergeCell ref="N65:Q65"/>
    <mergeCell ref="R65:U65"/>
    <mergeCell ref="V65:Y65"/>
    <mergeCell ref="Z63:AF63"/>
    <mergeCell ref="E64:F64"/>
    <mergeCell ref="G64:I64"/>
    <mergeCell ref="J64:M64"/>
    <mergeCell ref="N64:Q64"/>
    <mergeCell ref="R64:U64"/>
    <mergeCell ref="V64:Y64"/>
    <mergeCell ref="Z64:AF64"/>
    <mergeCell ref="E63:F63"/>
    <mergeCell ref="G63:I63"/>
    <mergeCell ref="J63:M63"/>
    <mergeCell ref="N63:Q63"/>
    <mergeCell ref="R63:U63"/>
    <mergeCell ref="V63:Y63"/>
    <mergeCell ref="Z56:AF56"/>
    <mergeCell ref="E58:R58"/>
    <mergeCell ref="S58:V58"/>
    <mergeCell ref="E62:F62"/>
    <mergeCell ref="G62:I62"/>
    <mergeCell ref="J62:M62"/>
    <mergeCell ref="N62:Q62"/>
    <mergeCell ref="R62:U62"/>
    <mergeCell ref="V62:Y62"/>
    <mergeCell ref="Z62:AF62"/>
    <mergeCell ref="E56:F56"/>
    <mergeCell ref="G56:I56"/>
    <mergeCell ref="J56:M56"/>
    <mergeCell ref="N56:Q56"/>
    <mergeCell ref="R56:U56"/>
    <mergeCell ref="V56:Y56"/>
    <mergeCell ref="Z54:AF54"/>
    <mergeCell ref="E55:F55"/>
    <mergeCell ref="G55:I55"/>
    <mergeCell ref="J55:M55"/>
    <mergeCell ref="N55:Q55"/>
    <mergeCell ref="R55:U55"/>
    <mergeCell ref="V55:Y55"/>
    <mergeCell ref="Z55:AF55"/>
    <mergeCell ref="E54:F54"/>
    <mergeCell ref="G54:I54"/>
    <mergeCell ref="J54:M54"/>
    <mergeCell ref="N54:Q54"/>
    <mergeCell ref="R54:U54"/>
    <mergeCell ref="V54:Y54"/>
    <mergeCell ref="Z52:AF52"/>
    <mergeCell ref="E53:F53"/>
    <mergeCell ref="G53:I53"/>
    <mergeCell ref="J53:M53"/>
    <mergeCell ref="N53:Q53"/>
    <mergeCell ref="R53:U53"/>
    <mergeCell ref="V53:Y53"/>
    <mergeCell ref="Z53:AF53"/>
    <mergeCell ref="E48:R48"/>
    <mergeCell ref="S48:V48"/>
    <mergeCell ref="E52:F52"/>
    <mergeCell ref="G52:I52"/>
    <mergeCell ref="J52:M52"/>
    <mergeCell ref="N52:Q52"/>
    <mergeCell ref="R52:U52"/>
    <mergeCell ref="V52:Y52"/>
    <mergeCell ref="E45:L45"/>
    <mergeCell ref="M45:Q45"/>
    <mergeCell ref="R45:V45"/>
    <mergeCell ref="W45:AA45"/>
    <mergeCell ref="AB45:AF45"/>
    <mergeCell ref="E46:L46"/>
    <mergeCell ref="M46:Q46"/>
    <mergeCell ref="R46:V46"/>
    <mergeCell ref="W46:AA46"/>
    <mergeCell ref="AB46:AF46"/>
    <mergeCell ref="I43:L43"/>
    <mergeCell ref="M43:Q43"/>
    <mergeCell ref="R43:V43"/>
    <mergeCell ref="W43:AA43"/>
    <mergeCell ref="AB43:AF43"/>
    <mergeCell ref="I44:L44"/>
    <mergeCell ref="M44:Q44"/>
    <mergeCell ref="R44:V44"/>
    <mergeCell ref="W44:AA44"/>
    <mergeCell ref="AB44:AF44"/>
    <mergeCell ref="R38:V38"/>
    <mergeCell ref="W38:AA38"/>
    <mergeCell ref="AB41:AF41"/>
    <mergeCell ref="I42:L42"/>
    <mergeCell ref="M42:Q42"/>
    <mergeCell ref="R42:V42"/>
    <mergeCell ref="W42:AA42"/>
    <mergeCell ref="AB42:AF42"/>
    <mergeCell ref="I40:L40"/>
    <mergeCell ref="M40:Q40"/>
    <mergeCell ref="R40:V40"/>
    <mergeCell ref="W40:AA40"/>
    <mergeCell ref="AB40:AF40"/>
    <mergeCell ref="I36:L36"/>
    <mergeCell ref="M36:Q36"/>
    <mergeCell ref="R36:V36"/>
    <mergeCell ref="W36:AA36"/>
    <mergeCell ref="AB36:AF36"/>
    <mergeCell ref="E41:H44"/>
    <mergeCell ref="I41:L41"/>
    <mergeCell ref="M41:Q41"/>
    <mergeCell ref="R41:V41"/>
    <mergeCell ref="W41:AA41"/>
    <mergeCell ref="AB38:AF38"/>
    <mergeCell ref="I39:L39"/>
    <mergeCell ref="M39:Q39"/>
    <mergeCell ref="R39:V39"/>
    <mergeCell ref="W39:AA39"/>
    <mergeCell ref="AB39:AF39"/>
    <mergeCell ref="E37:H40"/>
    <mergeCell ref="I37:L37"/>
    <mergeCell ref="M37:Q37"/>
    <mergeCell ref="R37:V37"/>
    <mergeCell ref="W37:AA37"/>
    <mergeCell ref="AB37:AF37"/>
    <mergeCell ref="I38:L38"/>
    <mergeCell ref="M38:Q38"/>
    <mergeCell ref="R34:V34"/>
    <mergeCell ref="W34:AA34"/>
    <mergeCell ref="AB34:AF34"/>
    <mergeCell ref="I32:L32"/>
    <mergeCell ref="M32:Q32"/>
    <mergeCell ref="R32:V32"/>
    <mergeCell ref="W32:AA32"/>
    <mergeCell ref="AB32:AF32"/>
    <mergeCell ref="I35:L35"/>
    <mergeCell ref="M35:Q35"/>
    <mergeCell ref="R35:V35"/>
    <mergeCell ref="W35:AA35"/>
    <mergeCell ref="AB35:AF35"/>
    <mergeCell ref="E29:H32"/>
    <mergeCell ref="I29:L29"/>
    <mergeCell ref="M29:Q29"/>
    <mergeCell ref="R29:V29"/>
    <mergeCell ref="W29:AA29"/>
    <mergeCell ref="AB29:AF29"/>
    <mergeCell ref="I30:L30"/>
    <mergeCell ref="M30:Q30"/>
    <mergeCell ref="E33:H36"/>
    <mergeCell ref="I33:L33"/>
    <mergeCell ref="M33:Q33"/>
    <mergeCell ref="R33:V33"/>
    <mergeCell ref="W33:AA33"/>
    <mergeCell ref="R30:V30"/>
    <mergeCell ref="W30:AA30"/>
    <mergeCell ref="AB30:AF30"/>
    <mergeCell ref="I31:L31"/>
    <mergeCell ref="M31:Q31"/>
    <mergeCell ref="R31:V31"/>
    <mergeCell ref="W31:AA31"/>
    <mergeCell ref="AB31:AF31"/>
    <mergeCell ref="AB33:AF33"/>
    <mergeCell ref="I34:L34"/>
    <mergeCell ref="M34:Q34"/>
    <mergeCell ref="E24:R24"/>
    <mergeCell ref="S24:V24"/>
    <mergeCell ref="E28:H28"/>
    <mergeCell ref="I28:L28"/>
    <mergeCell ref="M28:Q28"/>
    <mergeCell ref="R28:V28"/>
    <mergeCell ref="AB21:AF21"/>
    <mergeCell ref="I22:L22"/>
    <mergeCell ref="M22:Q22"/>
    <mergeCell ref="R22:V22"/>
    <mergeCell ref="W22:AA22"/>
    <mergeCell ref="AB22:AF22"/>
    <mergeCell ref="E20:H22"/>
    <mergeCell ref="I20:L20"/>
    <mergeCell ref="M20:Q20"/>
    <mergeCell ref="R20:V20"/>
    <mergeCell ref="W20:AA20"/>
    <mergeCell ref="AB20:AF20"/>
    <mergeCell ref="I21:L21"/>
    <mergeCell ref="M21:Q21"/>
    <mergeCell ref="R21:V21"/>
    <mergeCell ref="W21:AA21"/>
    <mergeCell ref="W28:AA28"/>
    <mergeCell ref="AB28:AF28"/>
    <mergeCell ref="AB16:AF16"/>
    <mergeCell ref="E17:H19"/>
    <mergeCell ref="I17:L17"/>
    <mergeCell ref="M17:Q17"/>
    <mergeCell ref="R17:V17"/>
    <mergeCell ref="W17:AA17"/>
    <mergeCell ref="AB17:AF17"/>
    <mergeCell ref="I18:L18"/>
    <mergeCell ref="M18:Q18"/>
    <mergeCell ref="R18:V18"/>
    <mergeCell ref="W18:AA18"/>
    <mergeCell ref="AB18:AF18"/>
    <mergeCell ref="I19:L19"/>
    <mergeCell ref="M19:Q19"/>
    <mergeCell ref="R19:V19"/>
    <mergeCell ref="W19:AA19"/>
    <mergeCell ref="AB19:AF19"/>
    <mergeCell ref="E16:H16"/>
    <mergeCell ref="I16:L16"/>
    <mergeCell ref="M16:Q16"/>
    <mergeCell ref="E4:F4"/>
    <mergeCell ref="H4:P4"/>
    <mergeCell ref="E5:F5"/>
    <mergeCell ref="H5:P5"/>
    <mergeCell ref="E9:J9"/>
    <mergeCell ref="L9:N9"/>
    <mergeCell ref="O9:P9"/>
    <mergeCell ref="R16:V16"/>
    <mergeCell ref="W16:AA16"/>
    <mergeCell ref="E12:J12"/>
    <mergeCell ref="L12:N12"/>
    <mergeCell ref="O12:P12"/>
    <mergeCell ref="E10:J10"/>
    <mergeCell ref="L10:N10"/>
    <mergeCell ref="O10:P10"/>
    <mergeCell ref="E11:J11"/>
    <mergeCell ref="L11:N11"/>
    <mergeCell ref="O11:P11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2" orientation="portrait" r:id="rId1"/>
  <rowBreaks count="1" manualBreakCount="1">
    <brk id="49" min="1" max="3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D016-3E42-4B61-A18B-3EEDA34F561A}">
  <dimension ref="A1:AR999"/>
  <sheetViews>
    <sheetView showGridLines="0" topLeftCell="A23" workbookViewId="0">
      <selection activeCell="AO35" sqref="AO35"/>
    </sheetView>
  </sheetViews>
  <sheetFormatPr defaultColWidth="12.7109375" defaultRowHeight="15" customHeight="1"/>
  <cols>
    <col min="1" max="4" width="2.28515625" style="142" customWidth="1"/>
    <col min="5" max="5" width="3.85546875" style="142" customWidth="1"/>
    <col min="6" max="6" width="2.28515625" style="142" customWidth="1"/>
    <col min="7" max="7" width="5" style="142" customWidth="1"/>
    <col min="8" max="8" width="6" style="142" customWidth="1"/>
    <col min="9" max="17" width="2.28515625" style="142" customWidth="1"/>
    <col min="18" max="18" width="3.28515625" style="142" customWidth="1"/>
    <col min="19" max="24" width="2.28515625" style="142" customWidth="1"/>
    <col min="25" max="25" width="3.28515625" style="142" customWidth="1"/>
    <col min="26" max="30" width="2.28515625" style="142" customWidth="1"/>
    <col min="31" max="31" width="7" style="142" hidden="1" customWidth="1"/>
    <col min="32" max="32" width="2.28515625" style="142" customWidth="1"/>
    <col min="33" max="33" width="4" style="142" customWidth="1"/>
    <col min="34" max="39" width="2.28515625" style="142" customWidth="1"/>
    <col min="40" max="16384" width="12.7109375" style="142"/>
  </cols>
  <sheetData>
    <row r="1" spans="1:44" ht="13.5" customHeight="1" thickBot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spans="1:44" ht="13.5" customHeight="1" thickTop="1">
      <c r="A2" s="141"/>
      <c r="B2" s="143"/>
      <c r="C2" s="144"/>
      <c r="D2" s="144"/>
      <c r="E2" s="145" t="s">
        <v>193</v>
      </c>
      <c r="F2" s="145"/>
      <c r="G2" s="146"/>
      <c r="H2" s="145"/>
      <c r="I2" s="145"/>
      <c r="J2" s="147"/>
      <c r="K2" s="144"/>
      <c r="L2" s="144"/>
      <c r="M2" s="144"/>
      <c r="N2" s="148"/>
      <c r="O2" s="144"/>
      <c r="P2" s="144"/>
      <c r="Q2" s="144"/>
      <c r="R2" s="144"/>
      <c r="S2" s="148"/>
      <c r="T2" s="141"/>
      <c r="U2" s="141"/>
      <c r="V2" s="141"/>
      <c r="W2" s="141"/>
      <c r="X2" s="141"/>
      <c r="Y2" s="141"/>
      <c r="Z2" s="141"/>
      <c r="AA2" s="141"/>
      <c r="AB2" s="423"/>
      <c r="AC2" s="423"/>
      <c r="AD2" s="423"/>
    </row>
    <row r="3" spans="1:44" ht="12.75" customHeight="1">
      <c r="A3" s="141"/>
      <c r="B3" s="149"/>
      <c r="C3" s="141"/>
      <c r="D3" s="141"/>
      <c r="E3" s="150" t="s">
        <v>3</v>
      </c>
      <c r="F3" s="150"/>
      <c r="G3" s="151" t="s">
        <v>194</v>
      </c>
      <c r="H3" s="150"/>
      <c r="I3" s="151"/>
      <c r="J3" s="151"/>
      <c r="K3" s="141"/>
      <c r="L3" s="141"/>
      <c r="M3" s="141"/>
      <c r="N3" s="141"/>
      <c r="O3" s="141"/>
      <c r="P3" s="141"/>
      <c r="Q3" s="141"/>
      <c r="R3" s="141"/>
      <c r="S3" s="152"/>
      <c r="T3" s="141"/>
      <c r="U3" s="141"/>
      <c r="V3" s="141"/>
      <c r="W3" s="141"/>
      <c r="X3" s="141"/>
      <c r="Y3" s="141"/>
      <c r="Z3" s="141"/>
      <c r="AA3" s="141"/>
    </row>
    <row r="4" spans="1:44" ht="13.5" customHeight="1" thickBot="1">
      <c r="A4" s="141"/>
      <c r="B4" s="153"/>
      <c r="C4" s="154"/>
      <c r="D4" s="154"/>
      <c r="E4" s="155" t="s">
        <v>48</v>
      </c>
      <c r="F4" s="155"/>
      <c r="G4" s="156" t="s">
        <v>194</v>
      </c>
      <c r="H4" s="155"/>
      <c r="I4" s="156"/>
      <c r="J4" s="156"/>
      <c r="K4" s="154"/>
      <c r="L4" s="154"/>
      <c r="M4" s="154"/>
      <c r="N4" s="154"/>
      <c r="O4" s="154"/>
      <c r="P4" s="154"/>
      <c r="Q4" s="154"/>
      <c r="R4" s="154"/>
      <c r="S4" s="157"/>
      <c r="T4" s="141"/>
      <c r="U4" s="141"/>
      <c r="V4" s="141"/>
      <c r="W4" s="141"/>
      <c r="X4" s="141"/>
      <c r="Y4" s="141"/>
      <c r="Z4" s="141"/>
      <c r="AA4" s="141"/>
    </row>
    <row r="5" spans="1:44" ht="13.5" customHeight="1" thickTop="1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 spans="1:44" ht="12.75" customHeight="1">
      <c r="A6" s="158"/>
      <c r="B6" s="159" t="s">
        <v>291</v>
      </c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1"/>
      <c r="AC6" s="161"/>
      <c r="AD6" s="161"/>
      <c r="AE6" s="161"/>
      <c r="AF6" s="161"/>
      <c r="AG6" s="161"/>
      <c r="AH6" s="162"/>
    </row>
    <row r="7" spans="1:44" ht="12" customHeight="1">
      <c r="A7" s="158"/>
      <c r="B7" s="163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64"/>
      <c r="AI7" s="158"/>
      <c r="AJ7" s="158"/>
      <c r="AK7" s="158"/>
      <c r="AL7" s="158"/>
      <c r="AM7" s="158"/>
    </row>
    <row r="8" spans="1:44" ht="16.5">
      <c r="A8" s="158"/>
      <c r="B8" s="165" t="s">
        <v>196</v>
      </c>
      <c r="C8" s="166"/>
      <c r="D8" s="166"/>
      <c r="E8" s="166"/>
      <c r="F8" s="166"/>
      <c r="G8" s="166" t="s">
        <v>248</v>
      </c>
      <c r="H8" s="166"/>
      <c r="I8" s="166"/>
      <c r="J8" s="166"/>
      <c r="K8" s="166"/>
      <c r="L8" s="166"/>
      <c r="M8" s="166"/>
      <c r="N8" s="166"/>
      <c r="O8" s="166"/>
      <c r="P8" s="166"/>
      <c r="Q8" s="167"/>
      <c r="R8" s="166"/>
      <c r="S8" s="168" t="s">
        <v>292</v>
      </c>
      <c r="T8" s="166"/>
      <c r="U8" s="166"/>
      <c r="V8" s="166"/>
      <c r="W8" s="166" t="s">
        <v>4</v>
      </c>
      <c r="X8" s="166" t="s">
        <v>32</v>
      </c>
      <c r="Y8" s="166"/>
      <c r="Z8" s="169"/>
      <c r="AA8" s="166"/>
      <c r="AB8" s="166"/>
      <c r="AC8" s="166"/>
      <c r="AD8" s="166"/>
      <c r="AE8" s="166"/>
      <c r="AF8" s="166"/>
      <c r="AG8" s="166"/>
      <c r="AH8" s="167"/>
      <c r="AI8" s="158"/>
      <c r="AJ8" s="158"/>
      <c r="AK8" s="158"/>
      <c r="AL8" s="158"/>
      <c r="AM8" s="158"/>
    </row>
    <row r="9" spans="1:44" ht="16.5">
      <c r="A9" s="158"/>
      <c r="B9" s="170" t="s">
        <v>199</v>
      </c>
      <c r="C9" s="166"/>
      <c r="D9" s="166"/>
      <c r="E9" s="166"/>
      <c r="F9" s="166"/>
      <c r="G9" s="166" t="s">
        <v>372</v>
      </c>
      <c r="H9" s="166"/>
      <c r="I9" s="166"/>
      <c r="J9" s="166"/>
      <c r="K9" s="166"/>
      <c r="L9" s="166"/>
      <c r="M9" s="166"/>
      <c r="N9" s="166"/>
      <c r="O9" s="166"/>
      <c r="P9" s="166"/>
      <c r="Q9" s="167"/>
      <c r="R9" s="166"/>
      <c r="S9" s="168" t="s">
        <v>206</v>
      </c>
      <c r="T9" s="166"/>
      <c r="U9" s="166"/>
      <c r="V9" s="166"/>
      <c r="W9" s="166" t="s">
        <v>4</v>
      </c>
      <c r="X9" s="166" t="s">
        <v>382</v>
      </c>
      <c r="Y9" s="166"/>
      <c r="Z9" s="166"/>
      <c r="AA9" s="166"/>
      <c r="AB9" s="166"/>
      <c r="AC9" s="166"/>
      <c r="AD9" s="166"/>
      <c r="AE9" s="166"/>
      <c r="AF9" s="166"/>
      <c r="AG9" s="166"/>
      <c r="AH9" s="164"/>
      <c r="AI9" s="158"/>
      <c r="AJ9" s="158"/>
      <c r="AK9" s="158"/>
      <c r="AL9" s="158"/>
      <c r="AM9" s="158"/>
    </row>
    <row r="10" spans="1:44" ht="16.5">
      <c r="A10" s="158"/>
      <c r="B10" s="170" t="s">
        <v>293</v>
      </c>
      <c r="C10" s="166"/>
      <c r="D10" s="166"/>
      <c r="E10" s="166"/>
      <c r="F10" s="166"/>
      <c r="G10" s="166" t="s">
        <v>373</v>
      </c>
      <c r="H10" s="169"/>
      <c r="I10" s="166"/>
      <c r="J10" s="166"/>
      <c r="K10" s="166"/>
      <c r="L10" s="166"/>
      <c r="M10" s="166"/>
      <c r="N10" s="166"/>
      <c r="O10" s="166"/>
      <c r="P10" s="166"/>
      <c r="Q10" s="167"/>
      <c r="R10" s="166"/>
      <c r="S10" s="168" t="s">
        <v>209</v>
      </c>
      <c r="T10" s="166"/>
      <c r="U10" s="166"/>
      <c r="V10" s="166"/>
      <c r="W10" s="166" t="s">
        <v>4</v>
      </c>
      <c r="X10" s="166" t="s">
        <v>374</v>
      </c>
      <c r="Y10" s="166"/>
      <c r="Z10" s="166"/>
      <c r="AA10" s="166"/>
      <c r="AB10" s="166"/>
      <c r="AC10" s="166"/>
      <c r="AD10" s="166"/>
      <c r="AE10" s="166"/>
      <c r="AF10" s="166"/>
      <c r="AG10" s="166"/>
      <c r="AH10" s="171"/>
      <c r="AI10" s="158"/>
      <c r="AJ10" s="158"/>
      <c r="AK10" s="158"/>
      <c r="AL10" s="158"/>
      <c r="AM10" s="158"/>
    </row>
    <row r="11" spans="1:44" ht="16.5">
      <c r="A11" s="158"/>
      <c r="B11" s="170" t="s">
        <v>202</v>
      </c>
      <c r="C11" s="166"/>
      <c r="D11" s="166"/>
      <c r="E11" s="166"/>
      <c r="F11" s="166"/>
      <c r="G11" s="166" t="s">
        <v>294</v>
      </c>
      <c r="H11" s="166"/>
      <c r="I11" s="166"/>
      <c r="J11" s="166"/>
      <c r="K11" s="166"/>
      <c r="L11" s="166"/>
      <c r="M11" s="166"/>
      <c r="N11" s="166"/>
      <c r="O11" s="166"/>
      <c r="P11" s="166"/>
      <c r="Q11" s="167"/>
      <c r="R11" s="166"/>
      <c r="S11" s="168" t="s">
        <v>16</v>
      </c>
      <c r="T11" s="166"/>
      <c r="U11" s="166"/>
      <c r="V11" s="166"/>
      <c r="W11" s="166" t="s">
        <v>4</v>
      </c>
      <c r="X11" s="166" t="s">
        <v>338</v>
      </c>
      <c r="Y11" s="166"/>
      <c r="Z11" s="166"/>
      <c r="AA11" s="166"/>
      <c r="AB11" s="166"/>
      <c r="AC11" s="166"/>
      <c r="AD11" s="166"/>
      <c r="AE11" s="166"/>
      <c r="AF11" s="166"/>
      <c r="AG11" s="166"/>
      <c r="AH11" s="171"/>
      <c r="AI11" s="158"/>
      <c r="AJ11" s="158"/>
      <c r="AK11" s="158"/>
      <c r="AL11" s="158"/>
      <c r="AM11" s="158"/>
    </row>
    <row r="12" spans="1:44" ht="16.5">
      <c r="A12" s="158"/>
      <c r="B12" s="170" t="s">
        <v>295</v>
      </c>
      <c r="C12" s="166"/>
      <c r="D12" s="166"/>
      <c r="E12" s="166"/>
      <c r="F12" s="166"/>
      <c r="G12" s="166" t="s">
        <v>289</v>
      </c>
      <c r="H12" s="166"/>
      <c r="I12" s="166"/>
      <c r="J12" s="166"/>
      <c r="K12" s="166"/>
      <c r="L12" s="166"/>
      <c r="M12" s="166"/>
      <c r="N12" s="166"/>
      <c r="O12" s="166"/>
      <c r="P12" s="166"/>
      <c r="Q12" s="167"/>
      <c r="R12" s="166"/>
      <c r="S12" s="168" t="s">
        <v>213</v>
      </c>
      <c r="T12" s="166"/>
      <c r="U12" s="166"/>
      <c r="V12" s="166"/>
      <c r="W12" s="166" t="s">
        <v>4</v>
      </c>
      <c r="X12" s="457">
        <v>46119</v>
      </c>
      <c r="Y12" s="432"/>
      <c r="Z12" s="432"/>
      <c r="AA12" s="432"/>
      <c r="AB12" s="432"/>
      <c r="AC12" s="432"/>
      <c r="AD12" s="432"/>
      <c r="AE12" s="166"/>
      <c r="AF12" s="166"/>
      <c r="AG12" s="166"/>
      <c r="AH12" s="167"/>
      <c r="AI12" s="158"/>
      <c r="AJ12" s="158"/>
      <c r="AK12" s="158"/>
      <c r="AL12" s="158"/>
      <c r="AM12" s="158"/>
    </row>
    <row r="13" spans="1:44" ht="16.5">
      <c r="A13" s="158"/>
      <c r="B13" s="163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64"/>
      <c r="AI13" s="158"/>
      <c r="AJ13" s="158"/>
      <c r="AK13" s="158"/>
      <c r="AL13" s="158"/>
      <c r="AM13" s="158"/>
    </row>
    <row r="14" spans="1:44" ht="16.5">
      <c r="A14" s="158"/>
      <c r="B14" s="172">
        <v>1</v>
      </c>
      <c r="C14" s="173" t="s">
        <v>296</v>
      </c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64"/>
      <c r="AI14" s="158"/>
      <c r="AJ14" s="158"/>
      <c r="AK14" s="158"/>
      <c r="AL14" s="158"/>
      <c r="AM14" s="158"/>
      <c r="AN14" s="174"/>
    </row>
    <row r="15" spans="1:44" ht="16.5">
      <c r="A15" s="158"/>
      <c r="B15" s="163"/>
      <c r="C15" s="170" t="s">
        <v>297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428" t="s">
        <v>282</v>
      </c>
      <c r="Q15" s="432"/>
      <c r="R15" s="432"/>
      <c r="S15" s="432"/>
      <c r="T15" s="431"/>
      <c r="U15" s="428" t="s">
        <v>298</v>
      </c>
      <c r="V15" s="432"/>
      <c r="W15" s="432"/>
      <c r="X15" s="432"/>
      <c r="Y15" s="431"/>
      <c r="Z15" s="428" t="s">
        <v>299</v>
      </c>
      <c r="AA15" s="432"/>
      <c r="AB15" s="432"/>
      <c r="AC15" s="432"/>
      <c r="AD15" s="431"/>
      <c r="AE15" s="158"/>
      <c r="AF15" s="158"/>
      <c r="AG15" s="158"/>
      <c r="AH15" s="164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</row>
    <row r="16" spans="1:44" ht="16.5">
      <c r="A16" s="158"/>
      <c r="B16" s="163"/>
      <c r="C16" s="170" t="s">
        <v>300</v>
      </c>
      <c r="D16" s="166"/>
      <c r="E16" s="166"/>
      <c r="F16" s="166"/>
      <c r="G16" s="166"/>
      <c r="H16" s="166"/>
      <c r="I16" s="166" t="s">
        <v>301</v>
      </c>
      <c r="J16" s="166"/>
      <c r="K16" s="166"/>
      <c r="L16" s="166" t="s">
        <v>302</v>
      </c>
      <c r="M16" s="166"/>
      <c r="N16" s="166"/>
      <c r="O16" s="166"/>
      <c r="P16" s="428">
        <v>100</v>
      </c>
      <c r="Q16" s="432"/>
      <c r="R16" s="432"/>
      <c r="S16" s="432"/>
      <c r="T16" s="431"/>
      <c r="U16" s="428">
        <v>100</v>
      </c>
      <c r="V16" s="432"/>
      <c r="W16" s="432"/>
      <c r="X16" s="432"/>
      <c r="Y16" s="431"/>
      <c r="Z16" s="428"/>
      <c r="AA16" s="432"/>
      <c r="AB16" s="432"/>
      <c r="AC16" s="432"/>
      <c r="AD16" s="431"/>
      <c r="AE16" s="158"/>
      <c r="AF16" s="158"/>
      <c r="AG16" s="158"/>
      <c r="AH16" s="164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</row>
    <row r="17" spans="1:44" ht="16.5">
      <c r="A17" s="158"/>
      <c r="B17" s="163"/>
      <c r="C17" s="170" t="s">
        <v>303</v>
      </c>
      <c r="D17" s="166"/>
      <c r="E17" s="166"/>
      <c r="F17" s="166"/>
      <c r="G17" s="166"/>
      <c r="H17" s="166"/>
      <c r="I17" s="166" t="s">
        <v>304</v>
      </c>
      <c r="J17" s="166"/>
      <c r="K17" s="166"/>
      <c r="L17" s="166" t="s">
        <v>302</v>
      </c>
      <c r="M17" s="166"/>
      <c r="N17" s="166"/>
      <c r="O17" s="166"/>
      <c r="P17" s="428">
        <v>12.73</v>
      </c>
      <c r="Q17" s="432"/>
      <c r="R17" s="432"/>
      <c r="S17" s="432"/>
      <c r="T17" s="431"/>
      <c r="U17" s="428">
        <v>73.63</v>
      </c>
      <c r="V17" s="432"/>
      <c r="W17" s="432"/>
      <c r="X17" s="432"/>
      <c r="Y17" s="431"/>
      <c r="Z17" s="425" t="s">
        <v>305</v>
      </c>
      <c r="AA17" s="432"/>
      <c r="AB17" s="432"/>
      <c r="AC17" s="432"/>
      <c r="AD17" s="431"/>
      <c r="AE17" s="158"/>
      <c r="AF17" s="158"/>
      <c r="AG17" s="158"/>
      <c r="AH17" s="164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</row>
    <row r="18" spans="1:44" ht="16.5">
      <c r="A18" s="158"/>
      <c r="B18" s="163"/>
      <c r="C18" s="170" t="s">
        <v>306</v>
      </c>
      <c r="D18" s="166"/>
      <c r="E18" s="166"/>
      <c r="F18" s="166"/>
      <c r="G18" s="166"/>
      <c r="H18" s="166"/>
      <c r="I18" s="166" t="s">
        <v>304</v>
      </c>
      <c r="J18" s="166"/>
      <c r="K18" s="166"/>
      <c r="L18" s="166" t="s">
        <v>302</v>
      </c>
      <c r="M18" s="166"/>
      <c r="N18" s="166"/>
      <c r="O18" s="166"/>
      <c r="P18" s="428">
        <v>18.18</v>
      </c>
      <c r="Q18" s="432"/>
      <c r="R18" s="432"/>
      <c r="S18" s="432"/>
      <c r="T18" s="431"/>
      <c r="U18" s="428">
        <v>91.81</v>
      </c>
      <c r="V18" s="432"/>
      <c r="W18" s="432"/>
      <c r="X18" s="432"/>
      <c r="Y18" s="431"/>
      <c r="Z18" s="425" t="s">
        <v>237</v>
      </c>
      <c r="AA18" s="432"/>
      <c r="AB18" s="432"/>
      <c r="AC18" s="432"/>
      <c r="AD18" s="431"/>
      <c r="AE18" s="158"/>
      <c r="AF18" s="158"/>
      <c r="AG18" s="158"/>
      <c r="AH18" s="164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</row>
    <row r="19" spans="1:44" ht="16.5">
      <c r="A19" s="158"/>
      <c r="B19" s="163"/>
      <c r="C19" s="170" t="s">
        <v>345</v>
      </c>
      <c r="D19" s="166"/>
      <c r="E19" s="166"/>
      <c r="F19" s="166"/>
      <c r="G19" s="166"/>
      <c r="H19" s="166"/>
      <c r="I19" s="166" t="s">
        <v>307</v>
      </c>
      <c r="J19" s="166"/>
      <c r="K19" s="166"/>
      <c r="L19" s="166" t="s">
        <v>302</v>
      </c>
      <c r="M19" s="166"/>
      <c r="N19" s="166"/>
      <c r="O19" s="166"/>
      <c r="P19" s="428">
        <v>12.33</v>
      </c>
      <c r="Q19" s="429"/>
      <c r="R19" s="429"/>
      <c r="S19" s="429"/>
      <c r="T19" s="430"/>
      <c r="U19" s="428">
        <v>73.7</v>
      </c>
      <c r="V19" s="429"/>
      <c r="W19" s="429"/>
      <c r="X19" s="429"/>
      <c r="Y19" s="430"/>
      <c r="Z19" s="425" t="s">
        <v>308</v>
      </c>
      <c r="AA19" s="426"/>
      <c r="AB19" s="426"/>
      <c r="AC19" s="426"/>
      <c r="AD19" s="427"/>
      <c r="AE19" s="158"/>
      <c r="AF19" s="158"/>
      <c r="AG19" s="158"/>
      <c r="AH19" s="164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</row>
    <row r="20" spans="1:44" ht="16.5">
      <c r="A20" s="158"/>
      <c r="B20" s="163"/>
      <c r="C20" s="170" t="s">
        <v>346</v>
      </c>
      <c r="D20" s="166"/>
      <c r="E20" s="166"/>
      <c r="F20" s="166"/>
      <c r="G20" s="166"/>
      <c r="H20" s="166"/>
      <c r="I20" s="166" t="s">
        <v>307</v>
      </c>
      <c r="J20" s="166"/>
      <c r="K20" s="166"/>
      <c r="L20" s="166" t="s">
        <v>302</v>
      </c>
      <c r="M20" s="166"/>
      <c r="N20" s="166"/>
      <c r="O20" s="166"/>
      <c r="P20" s="428">
        <v>18.5</v>
      </c>
      <c r="Q20" s="429"/>
      <c r="R20" s="429"/>
      <c r="S20" s="429"/>
      <c r="T20" s="430"/>
      <c r="U20" s="428">
        <v>91.83</v>
      </c>
      <c r="V20" s="429"/>
      <c r="W20" s="429"/>
      <c r="X20" s="429"/>
      <c r="Y20" s="430"/>
      <c r="Z20" s="425" t="s">
        <v>237</v>
      </c>
      <c r="AA20" s="426"/>
      <c r="AB20" s="426"/>
      <c r="AC20" s="426"/>
      <c r="AD20" s="427"/>
      <c r="AE20" s="158"/>
      <c r="AF20" s="158"/>
      <c r="AG20" s="158"/>
      <c r="AH20" s="164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</row>
    <row r="21" spans="1:44" ht="16.5">
      <c r="A21" s="158"/>
      <c r="B21" s="163"/>
      <c r="C21" s="170" t="s">
        <v>309</v>
      </c>
      <c r="D21" s="166"/>
      <c r="E21" s="166"/>
      <c r="F21" s="166"/>
      <c r="G21" s="166"/>
      <c r="H21" s="166"/>
      <c r="I21" s="166" t="s">
        <v>310</v>
      </c>
      <c r="J21" s="166"/>
      <c r="K21" s="166"/>
      <c r="L21" s="166" t="s">
        <v>311</v>
      </c>
      <c r="M21" s="166"/>
      <c r="N21" s="166"/>
      <c r="O21" s="166"/>
      <c r="P21" s="428">
        <v>5.0229999999999997</v>
      </c>
      <c r="Q21" s="432"/>
      <c r="R21" s="432"/>
      <c r="S21" s="432"/>
      <c r="T21" s="431"/>
      <c r="U21" s="446">
        <v>5.09</v>
      </c>
      <c r="V21" s="454"/>
      <c r="W21" s="454"/>
      <c r="X21" s="454"/>
      <c r="Y21" s="455"/>
      <c r="Z21" s="456" t="s">
        <v>312</v>
      </c>
      <c r="AA21" s="432"/>
      <c r="AB21" s="432"/>
      <c r="AC21" s="432"/>
      <c r="AD21" s="431"/>
      <c r="AE21" s="158"/>
      <c r="AF21" s="158"/>
      <c r="AG21" s="158"/>
      <c r="AH21" s="164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</row>
    <row r="22" spans="1:44" ht="16.5">
      <c r="A22" s="158"/>
      <c r="B22" s="163"/>
      <c r="C22" s="170" t="s">
        <v>313</v>
      </c>
      <c r="D22" s="166"/>
      <c r="E22" s="166"/>
      <c r="F22" s="166"/>
      <c r="G22" s="166"/>
      <c r="H22" s="166"/>
      <c r="I22" s="166" t="s">
        <v>310</v>
      </c>
      <c r="J22" s="166"/>
      <c r="K22" s="166"/>
      <c r="L22" s="166" t="s">
        <v>311</v>
      </c>
      <c r="M22" s="166"/>
      <c r="N22" s="166"/>
      <c r="O22" s="167"/>
      <c r="P22" s="428">
        <v>2.5270000000000001</v>
      </c>
      <c r="Q22" s="432"/>
      <c r="R22" s="432"/>
      <c r="S22" s="432"/>
      <c r="T22" s="431"/>
      <c r="U22" s="436">
        <v>2.5019999999999998</v>
      </c>
      <c r="V22" s="432"/>
      <c r="W22" s="432"/>
      <c r="X22" s="432"/>
      <c r="Y22" s="431"/>
      <c r="Z22" s="425" t="s">
        <v>314</v>
      </c>
      <c r="AA22" s="432"/>
      <c r="AB22" s="432"/>
      <c r="AC22" s="432"/>
      <c r="AD22" s="431"/>
      <c r="AE22" s="158"/>
      <c r="AF22" s="158"/>
      <c r="AG22" s="158"/>
      <c r="AH22" s="164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</row>
    <row r="23" spans="1:44" ht="12" customHeight="1">
      <c r="A23" s="158"/>
      <c r="B23" s="163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64"/>
      <c r="AI23" s="158"/>
      <c r="AJ23" s="158"/>
      <c r="AK23" s="158"/>
      <c r="AL23" s="158"/>
      <c r="AM23" s="158"/>
      <c r="AN23" s="174"/>
    </row>
    <row r="24" spans="1:44" ht="12.75" customHeight="1">
      <c r="A24" s="158"/>
      <c r="B24" s="172">
        <v>2</v>
      </c>
      <c r="C24" s="173" t="s">
        <v>315</v>
      </c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64"/>
      <c r="AI24" s="158"/>
      <c r="AJ24" s="158"/>
      <c r="AK24" s="158"/>
      <c r="AL24" s="158"/>
      <c r="AM24" s="158"/>
    </row>
    <row r="25" spans="1:44" ht="16.5">
      <c r="A25" s="158"/>
      <c r="B25" s="163"/>
      <c r="C25" s="439" t="s">
        <v>316</v>
      </c>
      <c r="D25" s="441"/>
      <c r="E25" s="441"/>
      <c r="F25" s="441"/>
      <c r="G25" s="441"/>
      <c r="H25" s="441"/>
      <c r="I25" s="441"/>
      <c r="J25" s="441"/>
      <c r="K25" s="441"/>
      <c r="L25" s="441"/>
      <c r="M25" s="441"/>
      <c r="N25" s="436" t="s">
        <v>316</v>
      </c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  <c r="AA25" s="432"/>
      <c r="AB25" s="447" t="s">
        <v>299</v>
      </c>
      <c r="AC25" s="441"/>
      <c r="AD25" s="441"/>
      <c r="AE25" s="441"/>
      <c r="AF25" s="440"/>
      <c r="AG25" s="158"/>
      <c r="AH25" s="164"/>
      <c r="AI25" s="158"/>
      <c r="AJ25" s="158"/>
      <c r="AK25" s="158"/>
    </row>
    <row r="26" spans="1:44" ht="16.5">
      <c r="A26" s="158"/>
      <c r="B26" s="163"/>
      <c r="C26" s="444" t="s">
        <v>317</v>
      </c>
      <c r="D26" s="441"/>
      <c r="E26" s="441"/>
      <c r="F26" s="428" t="s">
        <v>318</v>
      </c>
      <c r="G26" s="431"/>
      <c r="H26" s="429" t="s">
        <v>319</v>
      </c>
      <c r="I26" s="432"/>
      <c r="J26" s="428" t="s">
        <v>319</v>
      </c>
      <c r="K26" s="432"/>
      <c r="L26" s="432"/>
      <c r="M26" s="431"/>
      <c r="N26" s="451" t="s">
        <v>317</v>
      </c>
      <c r="O26" s="423"/>
      <c r="P26" s="423"/>
      <c r="Q26" s="423"/>
      <c r="R26" s="452" t="s">
        <v>318</v>
      </c>
      <c r="S26" s="450"/>
      <c r="T26" s="453" t="s">
        <v>319</v>
      </c>
      <c r="U26" s="449"/>
      <c r="V26" s="449"/>
      <c r="W26" s="450"/>
      <c r="X26" s="453" t="s">
        <v>319</v>
      </c>
      <c r="Y26" s="449"/>
      <c r="Z26" s="449"/>
      <c r="AA26" s="449"/>
      <c r="AB26" s="445"/>
      <c r="AC26" s="423"/>
      <c r="AD26" s="423"/>
      <c r="AE26" s="423"/>
      <c r="AF26" s="424"/>
      <c r="AG26" s="158"/>
      <c r="AH26" s="164"/>
      <c r="AI26" s="158"/>
      <c r="AJ26" s="158"/>
      <c r="AK26" s="158"/>
    </row>
    <row r="27" spans="1:44" ht="16.5">
      <c r="A27" s="158"/>
      <c r="B27" s="163"/>
      <c r="C27" s="448"/>
      <c r="D27" s="449"/>
      <c r="E27" s="449"/>
      <c r="F27" s="428" t="s">
        <v>320</v>
      </c>
      <c r="G27" s="431"/>
      <c r="H27" s="428" t="s">
        <v>320</v>
      </c>
      <c r="I27" s="432"/>
      <c r="J27" s="428" t="s">
        <v>320</v>
      </c>
      <c r="K27" s="432"/>
      <c r="L27" s="432"/>
      <c r="M27" s="431"/>
      <c r="N27" s="448"/>
      <c r="O27" s="449"/>
      <c r="P27" s="449"/>
      <c r="Q27" s="449"/>
      <c r="R27" s="428" t="s">
        <v>320</v>
      </c>
      <c r="S27" s="431"/>
      <c r="T27" s="438" t="s">
        <v>320</v>
      </c>
      <c r="U27" s="432"/>
      <c r="V27" s="432"/>
      <c r="W27" s="431"/>
      <c r="X27" s="443" t="s">
        <v>320</v>
      </c>
      <c r="Y27" s="441"/>
      <c r="Z27" s="441"/>
      <c r="AA27" s="441"/>
      <c r="AB27" s="448"/>
      <c r="AC27" s="449"/>
      <c r="AD27" s="449"/>
      <c r="AE27" s="449"/>
      <c r="AF27" s="450"/>
      <c r="AG27" s="158"/>
      <c r="AH27" s="164"/>
      <c r="AI27" s="158"/>
      <c r="AJ27" s="158"/>
      <c r="AK27" s="158"/>
    </row>
    <row r="28" spans="1:44" ht="16.5">
      <c r="A28" s="158"/>
      <c r="B28" s="163"/>
      <c r="C28" s="444" t="s">
        <v>282</v>
      </c>
      <c r="D28" s="441"/>
      <c r="E28" s="440"/>
      <c r="F28" s="436">
        <f>P16</f>
        <v>100</v>
      </c>
      <c r="G28" s="431"/>
      <c r="H28" s="436">
        <v>12.73</v>
      </c>
      <c r="I28" s="432"/>
      <c r="J28" s="436">
        <v>18.18</v>
      </c>
      <c r="K28" s="432"/>
      <c r="L28" s="432"/>
      <c r="M28" s="431"/>
      <c r="N28" s="444" t="s">
        <v>298</v>
      </c>
      <c r="O28" s="441"/>
      <c r="P28" s="441"/>
      <c r="Q28" s="441"/>
      <c r="R28" s="436">
        <v>100</v>
      </c>
      <c r="S28" s="431"/>
      <c r="T28" s="438">
        <v>73.63</v>
      </c>
      <c r="U28" s="432"/>
      <c r="V28" s="432"/>
      <c r="W28" s="432"/>
      <c r="X28" s="446">
        <v>91.83</v>
      </c>
      <c r="Y28" s="432"/>
      <c r="Z28" s="432"/>
      <c r="AA28" s="431"/>
      <c r="AB28" s="425" t="s">
        <v>321</v>
      </c>
      <c r="AC28" s="432"/>
      <c r="AD28" s="432"/>
      <c r="AE28" s="432"/>
      <c r="AF28" s="431"/>
      <c r="AG28" s="158"/>
      <c r="AH28" s="164"/>
      <c r="AI28" s="158"/>
      <c r="AJ28" s="158"/>
      <c r="AK28" s="158"/>
    </row>
    <row r="29" spans="1:44" ht="16.5">
      <c r="A29" s="158"/>
      <c r="B29" s="163"/>
      <c r="C29" s="445"/>
      <c r="D29" s="423"/>
      <c r="E29" s="424"/>
      <c r="F29" s="439">
        <v>100</v>
      </c>
      <c r="G29" s="440"/>
      <c r="H29" s="439" t="s">
        <v>305</v>
      </c>
      <c r="I29" s="441"/>
      <c r="J29" s="442" t="s">
        <v>237</v>
      </c>
      <c r="K29" s="441"/>
      <c r="L29" s="441"/>
      <c r="M29" s="440"/>
      <c r="N29" s="445"/>
      <c r="O29" s="423"/>
      <c r="P29" s="423"/>
      <c r="Q29" s="423"/>
      <c r="R29" s="436">
        <v>100</v>
      </c>
      <c r="S29" s="431"/>
      <c r="T29" s="438" t="s">
        <v>305</v>
      </c>
      <c r="U29" s="432"/>
      <c r="V29" s="432"/>
      <c r="W29" s="431"/>
      <c r="X29" s="438" t="s">
        <v>237</v>
      </c>
      <c r="Y29" s="432"/>
      <c r="Z29" s="432"/>
      <c r="AA29" s="431"/>
      <c r="AB29" s="175"/>
      <c r="AC29" s="176"/>
      <c r="AD29" s="176"/>
      <c r="AE29" s="177"/>
      <c r="AF29" s="178"/>
      <c r="AG29" s="158"/>
      <c r="AH29" s="164"/>
      <c r="AI29" s="158"/>
      <c r="AJ29" s="158"/>
      <c r="AK29" s="158"/>
    </row>
    <row r="30" spans="1:44" ht="16.5">
      <c r="A30" s="158"/>
      <c r="B30" s="163"/>
      <c r="C30" s="428" t="s">
        <v>322</v>
      </c>
      <c r="D30" s="432"/>
      <c r="E30" s="432"/>
      <c r="F30" s="432"/>
      <c r="G30" s="431"/>
      <c r="H30" s="436" t="s">
        <v>339</v>
      </c>
      <c r="I30" s="431"/>
      <c r="J30" s="437" t="s">
        <v>340</v>
      </c>
      <c r="K30" s="432"/>
      <c r="L30" s="432"/>
      <c r="M30" s="431"/>
      <c r="N30" s="428" t="s">
        <v>322</v>
      </c>
      <c r="O30" s="432"/>
      <c r="P30" s="432"/>
      <c r="Q30" s="432"/>
      <c r="R30" s="432"/>
      <c r="S30" s="431"/>
      <c r="T30" s="438" t="s">
        <v>339</v>
      </c>
      <c r="U30" s="432"/>
      <c r="V30" s="432"/>
      <c r="W30" s="431"/>
      <c r="X30" s="438" t="s">
        <v>340</v>
      </c>
      <c r="Y30" s="432"/>
      <c r="Z30" s="432"/>
      <c r="AA30" s="431"/>
      <c r="AB30" s="425" t="s">
        <v>321</v>
      </c>
      <c r="AC30" s="432"/>
      <c r="AD30" s="432"/>
      <c r="AE30" s="432"/>
      <c r="AF30" s="431"/>
      <c r="AG30" s="158"/>
      <c r="AH30" s="164"/>
      <c r="AI30" s="158"/>
      <c r="AJ30" s="158"/>
      <c r="AK30" s="158"/>
    </row>
    <row r="31" spans="1:44" ht="16.5">
      <c r="A31" s="158"/>
      <c r="B31" s="163"/>
      <c r="C31" s="179"/>
      <c r="D31" s="179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64"/>
      <c r="AI31" s="158"/>
      <c r="AJ31" s="158"/>
      <c r="AK31" s="158"/>
      <c r="AL31" s="158"/>
      <c r="AM31" s="158"/>
    </row>
    <row r="32" spans="1:44" ht="16.5">
      <c r="A32" s="158"/>
      <c r="B32" s="180">
        <v>5</v>
      </c>
      <c r="C32" s="181" t="s">
        <v>323</v>
      </c>
      <c r="D32" s="181"/>
      <c r="E32" s="173"/>
      <c r="F32" s="173"/>
      <c r="G32" s="173"/>
      <c r="H32" s="173"/>
      <c r="I32" s="173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64"/>
      <c r="AI32" s="158"/>
      <c r="AJ32" s="158"/>
      <c r="AK32" s="158"/>
      <c r="AL32" s="158"/>
      <c r="AM32" s="158"/>
    </row>
    <row r="33" spans="1:39" ht="16.5">
      <c r="A33" s="158"/>
      <c r="B33" s="163"/>
      <c r="C33" s="428" t="s">
        <v>51</v>
      </c>
      <c r="D33" s="431"/>
      <c r="E33" s="428" t="s">
        <v>324</v>
      </c>
      <c r="F33" s="432"/>
      <c r="G33" s="432"/>
      <c r="H33" s="431"/>
      <c r="I33" s="428" t="s">
        <v>325</v>
      </c>
      <c r="J33" s="432"/>
      <c r="K33" s="432"/>
      <c r="L33" s="432"/>
      <c r="M33" s="432"/>
      <c r="N33" s="432"/>
      <c r="O33" s="432"/>
      <c r="P33" s="432"/>
      <c r="Q33" s="432"/>
      <c r="R33" s="431"/>
      <c r="S33" s="428" t="s">
        <v>233</v>
      </c>
      <c r="T33" s="432"/>
      <c r="U33" s="432"/>
      <c r="V33" s="432"/>
      <c r="W33" s="431"/>
      <c r="X33" s="428" t="s">
        <v>299</v>
      </c>
      <c r="Y33" s="432"/>
      <c r="Z33" s="432"/>
      <c r="AA33" s="432"/>
      <c r="AB33" s="431"/>
      <c r="AC33" s="158"/>
      <c r="AD33" s="158"/>
      <c r="AE33" s="158"/>
      <c r="AF33" s="158"/>
      <c r="AG33" s="158"/>
      <c r="AH33" s="164"/>
      <c r="AI33" s="158"/>
      <c r="AJ33" s="158"/>
      <c r="AK33" s="158"/>
      <c r="AL33" s="158"/>
      <c r="AM33" s="158"/>
    </row>
    <row r="34" spans="1:39" ht="16.5">
      <c r="A34" s="158"/>
      <c r="B34" s="163"/>
      <c r="C34" s="428">
        <v>1</v>
      </c>
      <c r="D34" s="431"/>
      <c r="E34" s="428" t="s">
        <v>282</v>
      </c>
      <c r="F34" s="432"/>
      <c r="G34" s="432"/>
      <c r="H34" s="431"/>
      <c r="I34" s="433" t="s">
        <v>326</v>
      </c>
      <c r="J34" s="432"/>
      <c r="K34" s="432"/>
      <c r="L34" s="432"/>
      <c r="M34" s="432"/>
      <c r="N34" s="432"/>
      <c r="O34" s="432"/>
      <c r="P34" s="432"/>
      <c r="Q34" s="432"/>
      <c r="R34" s="431"/>
      <c r="S34" s="434" t="s">
        <v>327</v>
      </c>
      <c r="T34" s="432"/>
      <c r="U34" s="432"/>
      <c r="V34" s="432"/>
      <c r="W34" s="431"/>
      <c r="X34" s="435" t="s">
        <v>321</v>
      </c>
      <c r="Y34" s="432"/>
      <c r="Z34" s="432"/>
      <c r="AA34" s="432"/>
      <c r="AB34" s="431"/>
      <c r="AC34" s="158"/>
      <c r="AD34" s="158"/>
      <c r="AE34" s="158"/>
      <c r="AF34" s="158"/>
      <c r="AG34" s="158"/>
      <c r="AH34" s="164"/>
      <c r="AI34" s="158"/>
      <c r="AJ34" s="158"/>
      <c r="AK34" s="158"/>
      <c r="AL34" s="158"/>
      <c r="AM34" s="158"/>
    </row>
    <row r="35" spans="1:39" ht="33.75" customHeight="1">
      <c r="A35" s="158"/>
      <c r="B35" s="163"/>
      <c r="C35" s="428">
        <v>2</v>
      </c>
      <c r="D35" s="431"/>
      <c r="E35" s="428" t="s">
        <v>282</v>
      </c>
      <c r="F35" s="432"/>
      <c r="G35" s="432"/>
      <c r="H35" s="432"/>
      <c r="I35" s="433" t="s">
        <v>328</v>
      </c>
      <c r="J35" s="432"/>
      <c r="K35" s="432"/>
      <c r="L35" s="432"/>
      <c r="M35" s="432"/>
      <c r="N35" s="432"/>
      <c r="O35" s="432"/>
      <c r="P35" s="432"/>
      <c r="Q35" s="432"/>
      <c r="R35" s="431"/>
      <c r="S35" s="434" t="s">
        <v>237</v>
      </c>
      <c r="T35" s="432"/>
      <c r="U35" s="432"/>
      <c r="V35" s="432"/>
      <c r="W35" s="431"/>
      <c r="X35" s="435" t="s">
        <v>321</v>
      </c>
      <c r="Y35" s="432"/>
      <c r="Z35" s="432"/>
      <c r="AA35" s="432"/>
      <c r="AB35" s="431"/>
      <c r="AC35" s="158"/>
      <c r="AD35" s="158"/>
      <c r="AE35" s="158"/>
      <c r="AF35" s="158"/>
      <c r="AG35" s="158"/>
      <c r="AH35" s="164"/>
      <c r="AI35" s="158"/>
      <c r="AJ35" s="158"/>
      <c r="AK35" s="158"/>
      <c r="AL35" s="158"/>
      <c r="AM35" s="158"/>
    </row>
    <row r="36" spans="1:39" ht="16.5">
      <c r="A36" s="158"/>
      <c r="B36" s="163"/>
      <c r="C36" s="428">
        <v>3</v>
      </c>
      <c r="D36" s="431"/>
      <c r="E36" s="428" t="s">
        <v>290</v>
      </c>
      <c r="F36" s="432"/>
      <c r="G36" s="432"/>
      <c r="H36" s="431"/>
      <c r="I36" s="433" t="s">
        <v>329</v>
      </c>
      <c r="J36" s="432"/>
      <c r="K36" s="432"/>
      <c r="L36" s="432"/>
      <c r="M36" s="432"/>
      <c r="N36" s="432"/>
      <c r="O36" s="432"/>
      <c r="P36" s="432"/>
      <c r="Q36" s="432"/>
      <c r="R36" s="431"/>
      <c r="S36" s="434" t="s">
        <v>327</v>
      </c>
      <c r="T36" s="432"/>
      <c r="U36" s="432"/>
      <c r="V36" s="432"/>
      <c r="W36" s="431"/>
      <c r="X36" s="435" t="s">
        <v>321</v>
      </c>
      <c r="Y36" s="432"/>
      <c r="Z36" s="432"/>
      <c r="AA36" s="432"/>
      <c r="AB36" s="431"/>
      <c r="AC36" s="158"/>
      <c r="AD36" s="158"/>
      <c r="AE36" s="158"/>
      <c r="AF36" s="158"/>
      <c r="AG36" s="158"/>
      <c r="AH36" s="164"/>
      <c r="AI36" s="158"/>
      <c r="AJ36" s="158"/>
      <c r="AK36" s="158"/>
      <c r="AL36" s="158"/>
      <c r="AM36" s="158"/>
    </row>
    <row r="37" spans="1:39" ht="30.75" customHeight="1">
      <c r="A37" s="158"/>
      <c r="B37" s="163"/>
      <c r="C37" s="428">
        <v>4</v>
      </c>
      <c r="D37" s="431"/>
      <c r="E37" s="428" t="s">
        <v>290</v>
      </c>
      <c r="F37" s="432"/>
      <c r="G37" s="432"/>
      <c r="H37" s="432"/>
      <c r="I37" s="433" t="s">
        <v>330</v>
      </c>
      <c r="J37" s="432"/>
      <c r="K37" s="432"/>
      <c r="L37" s="432"/>
      <c r="M37" s="432"/>
      <c r="N37" s="432"/>
      <c r="O37" s="432"/>
      <c r="P37" s="432"/>
      <c r="Q37" s="432"/>
      <c r="R37" s="431"/>
      <c r="S37" s="434" t="s">
        <v>237</v>
      </c>
      <c r="T37" s="432"/>
      <c r="U37" s="432"/>
      <c r="V37" s="432"/>
      <c r="W37" s="431"/>
      <c r="X37" s="435" t="s">
        <v>321</v>
      </c>
      <c r="Y37" s="432"/>
      <c r="Z37" s="432"/>
      <c r="AA37" s="432"/>
      <c r="AB37" s="431"/>
      <c r="AC37" s="158"/>
      <c r="AD37" s="158"/>
      <c r="AE37" s="158"/>
      <c r="AF37" s="158"/>
      <c r="AG37" s="158"/>
      <c r="AH37" s="164"/>
      <c r="AI37" s="158"/>
      <c r="AJ37" s="158"/>
      <c r="AK37" s="158"/>
      <c r="AL37" s="158"/>
      <c r="AM37" s="158"/>
    </row>
    <row r="38" spans="1:39" ht="19.5" customHeight="1">
      <c r="A38" s="158"/>
      <c r="B38" s="163"/>
      <c r="C38" s="182"/>
      <c r="D38" s="141"/>
      <c r="E38" s="182"/>
      <c r="F38" s="141"/>
      <c r="G38" s="141"/>
      <c r="H38" s="141"/>
      <c r="I38" s="183"/>
      <c r="J38" s="141"/>
      <c r="K38" s="141"/>
      <c r="L38" s="141"/>
      <c r="M38" s="141"/>
      <c r="N38" s="141"/>
      <c r="O38" s="141"/>
      <c r="P38" s="141"/>
      <c r="Q38" s="141"/>
      <c r="R38" s="141"/>
      <c r="S38" s="184"/>
      <c r="T38" s="141"/>
      <c r="U38" s="141"/>
      <c r="V38" s="141"/>
      <c r="W38" s="141"/>
      <c r="X38" s="183"/>
      <c r="Y38" s="141"/>
      <c r="Z38" s="141"/>
      <c r="AA38" s="141"/>
      <c r="AB38" s="141"/>
      <c r="AC38" s="158"/>
      <c r="AD38" s="158"/>
      <c r="AE38" s="158"/>
      <c r="AF38" s="158"/>
      <c r="AG38" s="158"/>
      <c r="AH38" s="164"/>
      <c r="AI38" s="158"/>
      <c r="AJ38" s="158"/>
      <c r="AK38" s="158"/>
      <c r="AL38" s="158"/>
      <c r="AM38" s="158"/>
    </row>
    <row r="39" spans="1:39" ht="12.75" customHeight="1">
      <c r="A39" s="158"/>
      <c r="B39" s="172">
        <v>6</v>
      </c>
      <c r="C39" s="173" t="s">
        <v>331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64"/>
      <c r="AI39" s="158"/>
      <c r="AJ39" s="158"/>
      <c r="AK39" s="158"/>
      <c r="AL39" s="158"/>
      <c r="AM39" s="158"/>
    </row>
    <row r="40" spans="1:39" ht="16.5">
      <c r="A40" s="158"/>
      <c r="B40" s="163"/>
      <c r="C40" s="158"/>
      <c r="E40" s="185" t="s">
        <v>399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64"/>
      <c r="AI40" s="158"/>
      <c r="AJ40" s="158"/>
      <c r="AK40" s="158"/>
      <c r="AL40" s="158"/>
      <c r="AM40" s="158"/>
    </row>
    <row r="41" spans="1:39" ht="12" customHeight="1">
      <c r="A41" s="158"/>
      <c r="B41" s="163"/>
      <c r="C41" s="158"/>
      <c r="D41" s="185" t="s">
        <v>400</v>
      </c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64"/>
      <c r="AI41" s="158"/>
      <c r="AJ41" s="158"/>
      <c r="AK41" s="158"/>
      <c r="AL41" s="158"/>
      <c r="AM41" s="158"/>
    </row>
    <row r="42" spans="1:39" ht="12.75" customHeight="1">
      <c r="A42" s="158"/>
      <c r="B42" s="186"/>
      <c r="C42" s="187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88"/>
      <c r="AI42" s="158"/>
      <c r="AJ42" s="158"/>
      <c r="AK42" s="158"/>
      <c r="AL42" s="158"/>
      <c r="AM42" s="158"/>
    </row>
    <row r="43" spans="1:39" ht="15" customHeight="1">
      <c r="A43" s="158"/>
      <c r="B43" s="189"/>
      <c r="C43" s="190"/>
      <c r="D43" s="190"/>
      <c r="E43" s="190"/>
      <c r="F43" s="190"/>
      <c r="G43" s="191" t="s">
        <v>244</v>
      </c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89"/>
      <c r="S43" s="190"/>
      <c r="T43" s="190"/>
      <c r="U43" s="190"/>
      <c r="V43" s="190"/>
      <c r="W43" s="190"/>
      <c r="X43" s="191" t="s">
        <v>245</v>
      </c>
      <c r="Y43" s="190"/>
      <c r="Z43" s="190"/>
      <c r="AA43" s="190"/>
      <c r="AB43" s="190"/>
      <c r="AC43" s="190"/>
      <c r="AD43" s="190"/>
      <c r="AE43" s="190"/>
      <c r="AF43" s="190"/>
      <c r="AG43" s="190"/>
      <c r="AH43" s="171"/>
      <c r="AI43" s="158"/>
      <c r="AJ43" s="158"/>
      <c r="AK43" s="158"/>
      <c r="AL43" s="158"/>
      <c r="AM43" s="158"/>
    </row>
    <row r="44" spans="1:39" ht="12" customHeight="1">
      <c r="A44" s="158"/>
      <c r="B44" s="163"/>
      <c r="C44" s="158" t="s">
        <v>332</v>
      </c>
      <c r="D44" s="192" t="s">
        <v>342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63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64"/>
      <c r="AI44" s="158"/>
      <c r="AJ44" s="158"/>
      <c r="AK44" s="158"/>
      <c r="AL44" s="158"/>
      <c r="AM44" s="158"/>
    </row>
    <row r="45" spans="1:39" ht="12" customHeight="1">
      <c r="A45" s="158"/>
      <c r="B45" s="163"/>
      <c r="C45" s="158" t="s">
        <v>333</v>
      </c>
      <c r="D45" s="192" t="s">
        <v>343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63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64"/>
      <c r="AI45" s="158"/>
      <c r="AJ45" s="158"/>
      <c r="AK45" s="158"/>
      <c r="AL45" s="158"/>
      <c r="AM45" s="158"/>
    </row>
    <row r="46" spans="1:39" ht="12" customHeight="1">
      <c r="A46" s="158"/>
      <c r="B46" s="163"/>
      <c r="C46" s="158" t="s">
        <v>334</v>
      </c>
      <c r="D46" s="192" t="s">
        <v>344</v>
      </c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63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64"/>
      <c r="AI46" s="158"/>
      <c r="AJ46" s="158"/>
      <c r="AK46" s="158"/>
      <c r="AL46" s="158"/>
      <c r="AM46" s="158"/>
    </row>
    <row r="47" spans="1:39" ht="12" customHeight="1">
      <c r="A47" s="158"/>
      <c r="B47" s="163"/>
      <c r="C47" s="158" t="s">
        <v>335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63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64"/>
      <c r="AI47" s="158"/>
      <c r="AJ47" s="158"/>
      <c r="AK47" s="158"/>
      <c r="AL47" s="158"/>
      <c r="AM47" s="158"/>
    </row>
    <row r="48" spans="1:39" ht="12" customHeight="1">
      <c r="A48" s="158"/>
      <c r="B48" s="163"/>
      <c r="C48" s="158" t="s">
        <v>336</v>
      </c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63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64"/>
      <c r="AI48" s="158"/>
      <c r="AJ48" s="158"/>
      <c r="AK48" s="158"/>
      <c r="AL48" s="158"/>
      <c r="AM48" s="158"/>
    </row>
    <row r="49" spans="1:39" ht="14.25" customHeight="1">
      <c r="A49" s="158"/>
      <c r="B49" s="163"/>
      <c r="C49" s="158" t="s">
        <v>337</v>
      </c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422" t="s">
        <v>341</v>
      </c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4"/>
      <c r="AI49" s="158"/>
      <c r="AJ49" s="158"/>
      <c r="AK49" s="158"/>
      <c r="AL49" s="158"/>
      <c r="AM49" s="158"/>
    </row>
    <row r="50" spans="1:39" ht="12" customHeight="1">
      <c r="A50" s="158"/>
      <c r="B50" s="186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6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93"/>
      <c r="AI50" s="158"/>
      <c r="AJ50" s="158"/>
      <c r="AK50" s="158"/>
      <c r="AL50" s="158"/>
      <c r="AM50" s="158"/>
    </row>
    <row r="51" spans="1:39" ht="12" customHeight="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</row>
    <row r="52" spans="1:39" ht="12" customHeight="1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</row>
    <row r="53" spans="1:39" ht="12" customHeight="1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</row>
    <row r="54" spans="1:39" ht="12" customHeight="1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</row>
    <row r="55" spans="1:39" ht="12" customHeight="1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</row>
    <row r="56" spans="1:39" ht="12" customHeight="1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</row>
    <row r="57" spans="1:39" ht="12" customHeight="1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</row>
    <row r="58" spans="1:39" ht="12" customHeight="1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</row>
    <row r="59" spans="1:39" ht="12" customHeight="1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</row>
    <row r="60" spans="1:39" ht="12" customHeight="1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</row>
    <row r="61" spans="1:39" ht="12" customHeight="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</row>
    <row r="62" spans="1:39" ht="12" customHeight="1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</row>
    <row r="63" spans="1:39" ht="12" customHeight="1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</row>
    <row r="64" spans="1:39" ht="12" customHeight="1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</row>
    <row r="65" spans="1:39" ht="12" customHeight="1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</row>
    <row r="66" spans="1:39" ht="12" customHeight="1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</row>
    <row r="67" spans="1:39" ht="12" customHeight="1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</row>
    <row r="68" spans="1:39" ht="12" customHeight="1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</row>
    <row r="69" spans="1:39" ht="12" customHeight="1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</row>
    <row r="70" spans="1:39" ht="12" customHeight="1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</row>
    <row r="71" spans="1:39" ht="12" customHeight="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</row>
    <row r="72" spans="1:39" ht="12" customHeight="1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</row>
    <row r="73" spans="1:39" ht="12" customHeight="1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</row>
    <row r="74" spans="1:39" ht="12" customHeight="1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</row>
    <row r="75" spans="1:39" ht="12" customHeight="1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</row>
    <row r="76" spans="1:39" ht="12" customHeight="1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</row>
    <row r="77" spans="1:39" ht="12" customHeight="1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</row>
    <row r="78" spans="1:39" ht="12" customHeight="1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</row>
    <row r="79" spans="1:39" ht="12" customHeight="1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</row>
    <row r="80" spans="1:39" ht="12" customHeight="1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</row>
    <row r="81" spans="1:39" ht="12" customHeight="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</row>
    <row r="82" spans="1:39" ht="12" customHeight="1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</row>
    <row r="83" spans="1:39" ht="12" customHeight="1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</row>
    <row r="84" spans="1:39" ht="12" customHeight="1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</row>
    <row r="85" spans="1:39" ht="12" customHeight="1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</row>
    <row r="86" spans="1:39" ht="12" customHeight="1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</row>
    <row r="87" spans="1:39" ht="12" customHeight="1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</row>
    <row r="88" spans="1:39" ht="12" customHeight="1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</row>
    <row r="89" spans="1:39" ht="12" customHeight="1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</row>
    <row r="90" spans="1:39" ht="12" customHeight="1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</row>
    <row r="91" spans="1:39" ht="12" customHeight="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</row>
    <row r="92" spans="1:39" ht="12" customHeight="1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</row>
    <row r="93" spans="1:39" ht="12" customHeight="1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</row>
    <row r="94" spans="1:39" ht="12" customHeight="1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</row>
    <row r="95" spans="1:39" ht="12" customHeight="1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</row>
    <row r="96" spans="1:39" ht="12" customHeight="1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</row>
    <row r="97" spans="1:39" ht="12" customHeight="1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</row>
    <row r="98" spans="1:39" ht="12" customHeight="1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</row>
    <row r="99" spans="1:39" ht="12" customHeight="1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</row>
    <row r="100" spans="1:39" ht="12" customHeight="1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</row>
    <row r="101" spans="1:39" ht="12" customHeight="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</row>
    <row r="102" spans="1:39" ht="12" customHeight="1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</row>
    <row r="103" spans="1:39" ht="12" customHeight="1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</row>
    <row r="104" spans="1:39" ht="12" customHeight="1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</row>
    <row r="105" spans="1:39" ht="12" customHeight="1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</row>
    <row r="106" spans="1:39" ht="12" customHeight="1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</row>
    <row r="107" spans="1:39" ht="12" customHeight="1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</row>
    <row r="108" spans="1:39" ht="12" customHeight="1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</row>
    <row r="109" spans="1:39" ht="12" customHeight="1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</row>
    <row r="110" spans="1:39" ht="12" customHeight="1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</row>
    <row r="111" spans="1:39" ht="12" customHeight="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</row>
    <row r="112" spans="1:39" ht="12" customHeight="1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</row>
    <row r="113" spans="1:39" ht="12" customHeight="1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</row>
    <row r="114" spans="1:39" ht="12" customHeight="1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</row>
    <row r="115" spans="1:39" ht="12" customHeight="1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</row>
    <row r="116" spans="1:39" ht="12" customHeight="1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</row>
    <row r="117" spans="1:39" ht="12" customHeight="1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</row>
    <row r="118" spans="1:39" ht="12" customHeight="1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</row>
    <row r="119" spans="1:39" ht="12" customHeight="1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</row>
    <row r="120" spans="1:39" ht="12" customHeight="1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</row>
    <row r="121" spans="1:39" ht="12" customHeight="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</row>
    <row r="122" spans="1:39" ht="12" customHeight="1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</row>
    <row r="123" spans="1:39" ht="12" customHeight="1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</row>
    <row r="124" spans="1:39" ht="12" customHeight="1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</row>
    <row r="125" spans="1:39" ht="12" customHeight="1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</row>
    <row r="126" spans="1:39" ht="12" customHeight="1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</row>
    <row r="127" spans="1:39" ht="12" customHeight="1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</row>
    <row r="128" spans="1:39" ht="12" customHeight="1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</row>
    <row r="129" spans="1:39" ht="12" customHeight="1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</row>
    <row r="130" spans="1:39" ht="12" customHeight="1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</row>
    <row r="131" spans="1:39" ht="12" customHeight="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</row>
    <row r="132" spans="1:39" ht="12" customHeight="1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</row>
    <row r="133" spans="1:39" ht="12" customHeight="1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</row>
    <row r="134" spans="1:39" ht="12" customHeight="1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</row>
    <row r="135" spans="1:39" ht="12" customHeight="1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</row>
    <row r="136" spans="1:39" ht="12" customHeight="1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</row>
    <row r="137" spans="1:39" ht="12" customHeight="1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</row>
    <row r="138" spans="1:39" ht="12" customHeight="1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</row>
    <row r="139" spans="1:39" ht="12" customHeight="1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</row>
    <row r="140" spans="1:39" ht="12" customHeight="1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</row>
    <row r="141" spans="1:39" ht="12" customHeight="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</row>
    <row r="142" spans="1:39" ht="12" customHeight="1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</row>
    <row r="143" spans="1:39" ht="12" customHeight="1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</row>
    <row r="144" spans="1:39" ht="12" customHeight="1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</row>
    <row r="145" spans="1:39" ht="12" customHeight="1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</row>
    <row r="146" spans="1:39" ht="12" customHeight="1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</row>
    <row r="147" spans="1:39" ht="12" customHeight="1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</row>
    <row r="148" spans="1:39" ht="12" customHeight="1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</row>
    <row r="149" spans="1:39" ht="12" customHeight="1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</row>
    <row r="150" spans="1:39" ht="12" customHeight="1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</row>
    <row r="151" spans="1:39" ht="12" customHeight="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</row>
    <row r="152" spans="1:39" ht="12" customHeight="1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</row>
    <row r="153" spans="1:39" ht="12" customHeight="1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</row>
    <row r="154" spans="1:39" ht="12" customHeight="1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</row>
    <row r="155" spans="1:39" ht="12" customHeight="1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</row>
    <row r="156" spans="1:39" ht="12" customHeight="1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</row>
    <row r="157" spans="1:39" ht="12" customHeight="1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</row>
    <row r="158" spans="1:39" ht="12" customHeight="1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</row>
    <row r="159" spans="1:39" ht="12" customHeight="1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</row>
    <row r="160" spans="1:39" ht="12" customHeight="1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</row>
    <row r="161" spans="1:39" ht="12" customHeight="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</row>
    <row r="162" spans="1:39" ht="12" customHeight="1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</row>
    <row r="163" spans="1:39" ht="12" customHeight="1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</row>
    <row r="164" spans="1:39" ht="12" customHeight="1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</row>
    <row r="165" spans="1:39" ht="12" customHeight="1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</row>
    <row r="166" spans="1:39" ht="12" customHeight="1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</row>
    <row r="167" spans="1:39" ht="12" customHeight="1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</row>
    <row r="168" spans="1:39" ht="12" customHeight="1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</row>
    <row r="169" spans="1:39" ht="12" customHeight="1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</row>
    <row r="170" spans="1:39" ht="12" customHeight="1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</row>
    <row r="171" spans="1:39" ht="12" customHeight="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</row>
    <row r="172" spans="1:39" ht="12" customHeight="1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</row>
    <row r="173" spans="1:39" ht="12" customHeight="1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</row>
    <row r="174" spans="1:39" ht="12" customHeight="1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</row>
    <row r="175" spans="1:39" ht="12" customHeight="1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</row>
    <row r="176" spans="1:39" ht="12" customHeight="1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</row>
    <row r="177" spans="1:39" ht="12" customHeight="1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</row>
    <row r="178" spans="1:39" ht="12" customHeight="1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</row>
    <row r="179" spans="1:39" ht="12" customHeight="1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</row>
    <row r="180" spans="1:39" ht="12" customHeight="1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</row>
    <row r="181" spans="1:39" ht="12" customHeight="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</row>
    <row r="182" spans="1:39" ht="12" customHeight="1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</row>
    <row r="183" spans="1:39" ht="12" customHeight="1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</row>
    <row r="184" spans="1:39" ht="12" customHeight="1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</row>
    <row r="185" spans="1:39" ht="12" customHeight="1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</row>
    <row r="186" spans="1:39" ht="12" customHeight="1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</row>
    <row r="187" spans="1:39" ht="12" customHeight="1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</row>
    <row r="188" spans="1:39" ht="12" customHeight="1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</row>
    <row r="189" spans="1:39" ht="12" customHeight="1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</row>
    <row r="190" spans="1:39" ht="12" customHeight="1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</row>
    <row r="191" spans="1:39" ht="12" customHeight="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</row>
    <row r="192" spans="1:39" ht="12" customHeight="1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</row>
    <row r="193" spans="1:39" ht="12" customHeight="1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</row>
    <row r="194" spans="1:39" ht="12" customHeight="1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</row>
    <row r="195" spans="1:39" ht="12" customHeight="1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</row>
    <row r="196" spans="1:39" ht="12" customHeight="1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</row>
    <row r="197" spans="1:39" ht="12" customHeight="1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</row>
    <row r="198" spans="1:39" ht="12" customHeight="1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</row>
    <row r="199" spans="1:39" ht="12" customHeight="1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</row>
    <row r="200" spans="1:39" ht="12" customHeight="1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</row>
    <row r="201" spans="1:39" ht="12" customHeight="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</row>
    <row r="202" spans="1:39" ht="12" customHeight="1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</row>
    <row r="203" spans="1:39" ht="12" customHeight="1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</row>
    <row r="204" spans="1:39" ht="12" customHeight="1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</row>
    <row r="205" spans="1:39" ht="12" customHeight="1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</row>
    <row r="206" spans="1:39" ht="12" customHeight="1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</row>
    <row r="207" spans="1:39" ht="12" customHeight="1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</row>
    <row r="208" spans="1:39" ht="12" customHeight="1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</row>
    <row r="209" spans="1:39" ht="12" customHeight="1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</row>
    <row r="210" spans="1:39" ht="12" customHeight="1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</row>
    <row r="211" spans="1:39" ht="12" customHeight="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</row>
    <row r="212" spans="1:39" ht="12" customHeight="1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</row>
    <row r="213" spans="1:39" ht="12" customHeight="1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</row>
    <row r="214" spans="1:39" ht="12" customHeight="1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</row>
    <row r="215" spans="1:39" ht="12" customHeight="1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</row>
    <row r="216" spans="1:39" ht="12" customHeight="1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</row>
    <row r="217" spans="1:39" ht="12" customHeight="1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</row>
    <row r="218" spans="1:39" ht="12" customHeight="1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</row>
    <row r="219" spans="1:39" ht="12" customHeight="1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</row>
    <row r="220" spans="1:39" ht="12" customHeight="1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</row>
    <row r="221" spans="1:39" ht="12" customHeight="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</row>
    <row r="222" spans="1:39" ht="12" customHeight="1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</row>
    <row r="223" spans="1:39" ht="12" customHeight="1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</row>
    <row r="224" spans="1:39" ht="12" customHeight="1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</row>
    <row r="225" spans="1:39" ht="12" customHeight="1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</row>
    <row r="226" spans="1:39" ht="12" customHeight="1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</row>
    <row r="227" spans="1:39" ht="12" customHeight="1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</row>
    <row r="228" spans="1:39" ht="12" customHeight="1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</row>
    <row r="229" spans="1:39" ht="12" customHeight="1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</row>
    <row r="230" spans="1:39" ht="12" customHeight="1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</row>
    <row r="231" spans="1:39" ht="12" customHeight="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</row>
    <row r="232" spans="1:39" ht="12" customHeight="1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</row>
    <row r="233" spans="1:39" ht="12" customHeight="1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</row>
    <row r="234" spans="1:39" ht="12" customHeight="1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</row>
    <row r="235" spans="1:39" ht="12" customHeight="1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</row>
    <row r="236" spans="1:39" ht="12" customHeight="1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</row>
    <row r="237" spans="1:39" ht="12" customHeight="1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</row>
    <row r="238" spans="1:39" ht="12" customHeight="1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</row>
    <row r="239" spans="1:39" ht="12" customHeight="1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</row>
    <row r="240" spans="1:39" ht="12" customHeight="1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</row>
    <row r="241" spans="1:39" ht="12" customHeight="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</row>
    <row r="242" spans="1:39" ht="12" customHeight="1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</row>
    <row r="243" spans="1:39" ht="12" customHeight="1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</row>
    <row r="244" spans="1:39" ht="12" customHeight="1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</row>
    <row r="245" spans="1:39" ht="12" customHeight="1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</row>
    <row r="246" spans="1:39" ht="12" customHeight="1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</row>
    <row r="247" spans="1:39" ht="12" customHeight="1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</row>
    <row r="248" spans="1:39" ht="12" customHeight="1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</row>
    <row r="249" spans="1:39" ht="12" customHeight="1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</row>
    <row r="250" spans="1:39" ht="15.75" customHeight="1"/>
    <row r="251" spans="1:39" ht="15.75" customHeight="1"/>
    <row r="252" spans="1:39" ht="15.75" customHeight="1"/>
    <row r="253" spans="1:39" ht="15.75" customHeight="1"/>
    <row r="254" spans="1:39" ht="15.75" customHeight="1"/>
    <row r="255" spans="1:39" ht="15.75" customHeight="1"/>
    <row r="256" spans="1:3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1">
    <mergeCell ref="P16:T16"/>
    <mergeCell ref="U16:Y16"/>
    <mergeCell ref="Z16:AD16"/>
    <mergeCell ref="AB2:AD2"/>
    <mergeCell ref="X12:AD12"/>
    <mergeCell ref="P15:T15"/>
    <mergeCell ref="U15:Y15"/>
    <mergeCell ref="Z15:AD15"/>
    <mergeCell ref="P17:T17"/>
    <mergeCell ref="U17:Y17"/>
    <mergeCell ref="Z17:AD17"/>
    <mergeCell ref="P18:T18"/>
    <mergeCell ref="U18:Y18"/>
    <mergeCell ref="Z18:AD18"/>
    <mergeCell ref="P21:T21"/>
    <mergeCell ref="U21:Y21"/>
    <mergeCell ref="Z21:AD21"/>
    <mergeCell ref="P19:T19"/>
    <mergeCell ref="U19:Y19"/>
    <mergeCell ref="Z19:AD19"/>
    <mergeCell ref="P22:T22"/>
    <mergeCell ref="U22:Y22"/>
    <mergeCell ref="Z22:AD22"/>
    <mergeCell ref="C25:M25"/>
    <mergeCell ref="N25:AA25"/>
    <mergeCell ref="AB25:AF27"/>
    <mergeCell ref="C26:E27"/>
    <mergeCell ref="F26:G26"/>
    <mergeCell ref="H26:I26"/>
    <mergeCell ref="J26:M26"/>
    <mergeCell ref="N26:Q27"/>
    <mergeCell ref="R26:S26"/>
    <mergeCell ref="T26:W26"/>
    <mergeCell ref="X26:AA26"/>
    <mergeCell ref="F27:G27"/>
    <mergeCell ref="H27:I27"/>
    <mergeCell ref="J27:M27"/>
    <mergeCell ref="R27:S27"/>
    <mergeCell ref="T27:W27"/>
    <mergeCell ref="X27:AA27"/>
    <mergeCell ref="C28:E29"/>
    <mergeCell ref="F28:G28"/>
    <mergeCell ref="H28:I28"/>
    <mergeCell ref="J28:M28"/>
    <mergeCell ref="N28:Q29"/>
    <mergeCell ref="T28:W28"/>
    <mergeCell ref="X28:AA28"/>
    <mergeCell ref="AB28:AF28"/>
    <mergeCell ref="F29:G29"/>
    <mergeCell ref="H29:I29"/>
    <mergeCell ref="J29:M29"/>
    <mergeCell ref="R29:S29"/>
    <mergeCell ref="T29:W29"/>
    <mergeCell ref="X29:AA29"/>
    <mergeCell ref="R28:S28"/>
    <mergeCell ref="AB30:AF30"/>
    <mergeCell ref="C33:D33"/>
    <mergeCell ref="E33:H33"/>
    <mergeCell ref="I33:R33"/>
    <mergeCell ref="S33:W33"/>
    <mergeCell ref="X33:AB33"/>
    <mergeCell ref="C30:G30"/>
    <mergeCell ref="H30:I30"/>
    <mergeCell ref="J30:M30"/>
    <mergeCell ref="N30:S30"/>
    <mergeCell ref="T30:W30"/>
    <mergeCell ref="X30:AA30"/>
    <mergeCell ref="I34:R34"/>
    <mergeCell ref="S34:W34"/>
    <mergeCell ref="X34:AB34"/>
    <mergeCell ref="C35:D35"/>
    <mergeCell ref="E35:H35"/>
    <mergeCell ref="I35:R35"/>
    <mergeCell ref="S35:W35"/>
    <mergeCell ref="X35:AB35"/>
    <mergeCell ref="R49:AH49"/>
    <mergeCell ref="Z20:AD20"/>
    <mergeCell ref="U20:Y20"/>
    <mergeCell ref="P20:T20"/>
    <mergeCell ref="C36:D36"/>
    <mergeCell ref="E36:H36"/>
    <mergeCell ref="I36:R36"/>
    <mergeCell ref="S36:W36"/>
    <mergeCell ref="X36:AB36"/>
    <mergeCell ref="C37:D37"/>
    <mergeCell ref="E37:H37"/>
    <mergeCell ref="I37:R37"/>
    <mergeCell ref="S37:W37"/>
    <mergeCell ref="X37:AB37"/>
    <mergeCell ref="C34:D34"/>
    <mergeCell ref="E34:H34"/>
  </mergeCells>
  <pageMargins left="1.299212598425197" right="0.70866141732283472" top="0.74803149606299213" bottom="0.74803149606299213" header="0" footer="0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CED1-58A2-4844-821C-72A505BD8135}">
  <dimension ref="B1:AD50"/>
  <sheetViews>
    <sheetView view="pageBreakPreview" topLeftCell="A30" zoomScaleNormal="100" zoomScaleSheetLayoutView="100" workbookViewId="0">
      <selection activeCell="X23" sqref="X23:AC23"/>
    </sheetView>
  </sheetViews>
  <sheetFormatPr defaultColWidth="8.85546875" defaultRowHeight="17.100000000000001" customHeight="1"/>
  <cols>
    <col min="1" max="1" width="4.28515625" style="17" customWidth="1"/>
    <col min="2" max="100" width="3.5703125" style="17" customWidth="1"/>
    <col min="101" max="16384" width="8.85546875" style="17"/>
  </cols>
  <sheetData>
    <row r="1" spans="2:30" ht="17.100000000000001" customHeight="1" thickBot="1"/>
    <row r="2" spans="2:30" ht="17.100000000000001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20"/>
    </row>
    <row r="3" spans="2:30" ht="17.100000000000001" customHeight="1">
      <c r="B3" s="21"/>
      <c r="C3" s="22"/>
      <c r="D3" s="23"/>
      <c r="E3" s="24" t="s">
        <v>47</v>
      </c>
      <c r="F3" s="24"/>
      <c r="G3" s="24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5"/>
      <c r="AD3" s="26"/>
    </row>
    <row r="4" spans="2:30" ht="17.100000000000001" customHeight="1">
      <c r="B4" s="21"/>
      <c r="C4" s="27"/>
      <c r="E4" s="224" t="s">
        <v>3</v>
      </c>
      <c r="F4" s="224"/>
      <c r="G4" s="29" t="s">
        <v>4</v>
      </c>
      <c r="H4" s="225" t="s">
        <v>5</v>
      </c>
      <c r="I4" s="225"/>
      <c r="J4" s="225"/>
      <c r="K4" s="225"/>
      <c r="L4" s="225"/>
      <c r="M4" s="225"/>
      <c r="AC4" s="30"/>
      <c r="AD4" s="26"/>
    </row>
    <row r="5" spans="2:30" ht="17.100000000000001" customHeight="1">
      <c r="B5" s="21"/>
      <c r="C5" s="31"/>
      <c r="D5" s="32"/>
      <c r="E5" s="226" t="s">
        <v>48</v>
      </c>
      <c r="F5" s="226"/>
      <c r="G5" s="33" t="s">
        <v>4</v>
      </c>
      <c r="H5" s="364" t="s">
        <v>5</v>
      </c>
      <c r="I5" s="364"/>
      <c r="J5" s="364"/>
      <c r="K5" s="364"/>
      <c r="L5" s="364"/>
      <c r="M5" s="364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4"/>
      <c r="AD5" s="26"/>
    </row>
    <row r="6" spans="2:30" ht="17.100000000000001" customHeight="1">
      <c r="B6" s="21"/>
      <c r="AD6" s="26"/>
    </row>
    <row r="7" spans="2:30" ht="17.100000000000001" customHeight="1">
      <c r="B7" s="21"/>
      <c r="C7" s="458" t="s">
        <v>385</v>
      </c>
      <c r="D7" s="29"/>
      <c r="E7" s="29" t="s">
        <v>386</v>
      </c>
      <c r="AD7" s="26"/>
    </row>
    <row r="8" spans="2:30" ht="17.100000000000001" customHeight="1" thickBot="1">
      <c r="B8" s="21"/>
      <c r="C8" s="29"/>
      <c r="D8" s="29"/>
      <c r="E8" s="29"/>
      <c r="AD8" s="26"/>
    </row>
    <row r="9" spans="2:30" ht="37.35" customHeight="1" thickBot="1">
      <c r="B9" s="21"/>
      <c r="E9" s="384" t="s">
        <v>257</v>
      </c>
      <c r="F9" s="230"/>
      <c r="G9" s="230"/>
      <c r="H9" s="230"/>
      <c r="I9" s="230" t="s">
        <v>258</v>
      </c>
      <c r="J9" s="230"/>
      <c r="K9" s="230"/>
      <c r="L9" s="230"/>
      <c r="M9" s="230" t="s">
        <v>259</v>
      </c>
      <c r="N9" s="230"/>
      <c r="O9" s="230"/>
      <c r="P9" s="230"/>
      <c r="Q9" s="230"/>
      <c r="R9" s="231" t="s">
        <v>260</v>
      </c>
      <c r="S9" s="231"/>
      <c r="T9" s="232"/>
      <c r="U9" s="459" t="s">
        <v>56</v>
      </c>
      <c r="V9" s="459"/>
      <c r="W9" s="459"/>
      <c r="X9" s="234" t="s">
        <v>261</v>
      </c>
      <c r="Y9" s="231"/>
      <c r="Z9" s="231"/>
      <c r="AA9" s="231"/>
      <c r="AB9" s="231"/>
      <c r="AC9" s="235"/>
      <c r="AD9" s="26"/>
    </row>
    <row r="10" spans="2:30" ht="37.35" customHeight="1" thickBot="1">
      <c r="B10" s="21"/>
      <c r="E10" s="460" t="s">
        <v>387</v>
      </c>
      <c r="F10" s="375"/>
      <c r="G10" s="375"/>
      <c r="H10" s="375"/>
      <c r="I10" s="375" t="s">
        <v>388</v>
      </c>
      <c r="J10" s="375"/>
      <c r="K10" s="375"/>
      <c r="L10" s="375"/>
      <c r="M10" s="461" t="s">
        <v>262</v>
      </c>
      <c r="N10" s="461"/>
      <c r="O10" s="461"/>
      <c r="P10" s="461"/>
      <c r="Q10" s="462"/>
      <c r="R10" s="239" t="s">
        <v>263</v>
      </c>
      <c r="S10" s="239"/>
      <c r="T10" s="239"/>
      <c r="U10" s="463">
        <f>IF(ISBLANK(R10),9,IF(R10="OK",9,1))</f>
        <v>9</v>
      </c>
      <c r="V10" s="463"/>
      <c r="W10" s="463"/>
      <c r="X10" s="464" t="s">
        <v>407</v>
      </c>
      <c r="Y10" s="465"/>
      <c r="Z10" s="465"/>
      <c r="AA10" s="465"/>
      <c r="AB10" s="465"/>
      <c r="AC10" s="466"/>
      <c r="AD10" s="26"/>
    </row>
    <row r="11" spans="2:30" ht="37.35" customHeight="1">
      <c r="B11" s="21"/>
      <c r="E11" s="467" t="s">
        <v>387</v>
      </c>
      <c r="F11" s="379"/>
      <c r="G11" s="379"/>
      <c r="H11" s="379"/>
      <c r="I11" s="379" t="s">
        <v>389</v>
      </c>
      <c r="J11" s="379"/>
      <c r="K11" s="379"/>
      <c r="L11" s="379"/>
      <c r="M11" s="468" t="s">
        <v>262</v>
      </c>
      <c r="N11" s="468" t="s">
        <v>262</v>
      </c>
      <c r="O11" s="468"/>
      <c r="P11" s="468"/>
      <c r="Q11" s="469"/>
      <c r="R11" s="244" t="s">
        <v>263</v>
      </c>
      <c r="S11" s="244"/>
      <c r="T11" s="244"/>
      <c r="U11" s="279">
        <f t="shared" ref="U11:U13" si="0">IF(ISBLANK(R11),9,IF(R11="OK",9,1))</f>
        <v>9</v>
      </c>
      <c r="V11" s="279"/>
      <c r="W11" s="279"/>
      <c r="X11" s="464" t="s">
        <v>408</v>
      </c>
      <c r="Y11" s="465"/>
      <c r="Z11" s="465"/>
      <c r="AA11" s="465"/>
      <c r="AB11" s="465"/>
      <c r="AC11" s="466"/>
      <c r="AD11" s="26"/>
    </row>
    <row r="12" spans="2:30" ht="37.35" customHeight="1">
      <c r="B12" s="21"/>
      <c r="E12" s="467" t="s">
        <v>90</v>
      </c>
      <c r="F12" s="379"/>
      <c r="G12" s="379"/>
      <c r="H12" s="379"/>
      <c r="I12" s="379" t="s">
        <v>390</v>
      </c>
      <c r="J12" s="379"/>
      <c r="K12" s="379"/>
      <c r="L12" s="379"/>
      <c r="M12" s="468" t="s">
        <v>262</v>
      </c>
      <c r="N12" s="468" t="s">
        <v>262</v>
      </c>
      <c r="O12" s="468"/>
      <c r="P12" s="468"/>
      <c r="Q12" s="469"/>
      <c r="R12" s="244" t="s">
        <v>263</v>
      </c>
      <c r="S12" s="244"/>
      <c r="T12" s="244"/>
      <c r="U12" s="279">
        <f t="shared" si="0"/>
        <v>9</v>
      </c>
      <c r="V12" s="279"/>
      <c r="W12" s="279"/>
      <c r="X12" s="243" t="s">
        <v>401</v>
      </c>
      <c r="Y12" s="244"/>
      <c r="Z12" s="244"/>
      <c r="AA12" s="244"/>
      <c r="AB12" s="244"/>
      <c r="AC12" s="245"/>
      <c r="AD12" s="26"/>
    </row>
    <row r="13" spans="2:30" ht="37.35" customHeight="1" thickBot="1">
      <c r="B13" s="21"/>
      <c r="E13" s="470" t="s">
        <v>91</v>
      </c>
      <c r="F13" s="390"/>
      <c r="G13" s="390"/>
      <c r="H13" s="390"/>
      <c r="I13" s="390" t="s">
        <v>391</v>
      </c>
      <c r="J13" s="390"/>
      <c r="K13" s="390"/>
      <c r="L13" s="390"/>
      <c r="M13" s="471" t="s">
        <v>262</v>
      </c>
      <c r="N13" s="471" t="s">
        <v>262</v>
      </c>
      <c r="O13" s="471"/>
      <c r="P13" s="471"/>
      <c r="Q13" s="472"/>
      <c r="R13" s="251" t="s">
        <v>263</v>
      </c>
      <c r="S13" s="251"/>
      <c r="T13" s="251"/>
      <c r="U13" s="473">
        <f t="shared" si="0"/>
        <v>9</v>
      </c>
      <c r="V13" s="473"/>
      <c r="W13" s="473"/>
      <c r="X13" s="243" t="s">
        <v>402</v>
      </c>
      <c r="Y13" s="244"/>
      <c r="Z13" s="244"/>
      <c r="AA13" s="244"/>
      <c r="AB13" s="244"/>
      <c r="AC13" s="245"/>
      <c r="AD13" s="26"/>
    </row>
    <row r="14" spans="2:30" ht="17.100000000000001" customHeight="1">
      <c r="B14" s="21"/>
      <c r="E14" s="140" t="s">
        <v>122</v>
      </c>
      <c r="F14" s="474" t="s">
        <v>264</v>
      </c>
      <c r="G14" s="38"/>
      <c r="H14" s="38"/>
      <c r="I14" s="38"/>
      <c r="J14" s="38"/>
      <c r="K14" s="38"/>
      <c r="L14" s="38"/>
      <c r="M14" s="38"/>
      <c r="N14" s="35"/>
      <c r="O14" s="35"/>
      <c r="P14" s="35"/>
      <c r="AD14" s="26"/>
    </row>
    <row r="15" spans="2:30" ht="17.100000000000001" customHeight="1">
      <c r="B15" s="21"/>
      <c r="E15" s="37"/>
      <c r="F15" s="474"/>
      <c r="G15" s="38"/>
      <c r="H15" s="38"/>
      <c r="I15" s="38"/>
      <c r="J15" s="38"/>
      <c r="K15" s="38"/>
      <c r="L15" s="38"/>
      <c r="M15" s="38"/>
      <c r="N15" s="35"/>
      <c r="O15" s="35"/>
      <c r="P15" s="35"/>
      <c r="AD15" s="26"/>
    </row>
    <row r="16" spans="2:30" ht="17.100000000000001" customHeight="1">
      <c r="B16" s="21"/>
      <c r="E16" s="404" t="s">
        <v>392</v>
      </c>
      <c r="F16" s="404"/>
      <c r="G16" s="404"/>
      <c r="H16" s="404"/>
      <c r="I16" s="404"/>
      <c r="J16" s="404"/>
      <c r="K16" s="404"/>
      <c r="L16" s="404"/>
      <c r="M16" s="404"/>
      <c r="N16" s="404"/>
      <c r="O16" s="404"/>
      <c r="P16" s="404"/>
      <c r="Q16" s="256">
        <f>MIN(U10,U11,U12,U13)</f>
        <v>9</v>
      </c>
      <c r="R16" s="256"/>
      <c r="S16" s="256"/>
      <c r="T16" s="256"/>
      <c r="AD16" s="26"/>
    </row>
    <row r="17" spans="2:30" ht="17.100000000000001" customHeight="1">
      <c r="B17" s="21"/>
      <c r="E17" s="36"/>
      <c r="F17" s="36"/>
      <c r="G17" s="36"/>
      <c r="H17" s="36"/>
      <c r="I17" s="36"/>
      <c r="J17" s="36"/>
      <c r="K17" s="36"/>
      <c r="L17" s="36"/>
      <c r="M17" s="36"/>
      <c r="N17" s="35"/>
      <c r="O17" s="35"/>
      <c r="P17" s="35"/>
      <c r="AD17" s="26"/>
    </row>
    <row r="18" spans="2:30" ht="17.100000000000001" customHeight="1">
      <c r="B18" s="21"/>
      <c r="C18" s="458" t="s">
        <v>265</v>
      </c>
      <c r="D18" s="29"/>
      <c r="E18" s="29" t="s">
        <v>266</v>
      </c>
      <c r="AD18" s="26"/>
    </row>
    <row r="19" spans="2:30" ht="17.100000000000001" customHeight="1" thickBot="1">
      <c r="B19" s="21"/>
      <c r="C19" s="29"/>
      <c r="D19" s="29"/>
      <c r="E19" s="29"/>
      <c r="AD19" s="26"/>
    </row>
    <row r="20" spans="2:30" ht="37.35" customHeight="1" thickBot="1">
      <c r="B20" s="21"/>
      <c r="E20" s="384" t="s">
        <v>257</v>
      </c>
      <c r="F20" s="230"/>
      <c r="G20" s="230"/>
      <c r="H20" s="230"/>
      <c r="I20" s="230" t="s">
        <v>258</v>
      </c>
      <c r="J20" s="230"/>
      <c r="K20" s="230"/>
      <c r="L20" s="230"/>
      <c r="M20" s="230" t="s">
        <v>259</v>
      </c>
      <c r="N20" s="230"/>
      <c r="O20" s="230"/>
      <c r="P20" s="230"/>
      <c r="Q20" s="230"/>
      <c r="R20" s="231" t="s">
        <v>260</v>
      </c>
      <c r="S20" s="231"/>
      <c r="T20" s="232"/>
      <c r="U20" s="459" t="s">
        <v>56</v>
      </c>
      <c r="V20" s="459"/>
      <c r="W20" s="459"/>
      <c r="X20" s="234" t="s">
        <v>261</v>
      </c>
      <c r="Y20" s="231"/>
      <c r="Z20" s="231"/>
      <c r="AA20" s="231"/>
      <c r="AB20" s="231"/>
      <c r="AC20" s="235"/>
      <c r="AD20" s="26"/>
    </row>
    <row r="21" spans="2:30" ht="37.35" customHeight="1" thickBot="1">
      <c r="B21" s="21"/>
      <c r="E21" s="460" t="s">
        <v>267</v>
      </c>
      <c r="F21" s="375"/>
      <c r="G21" s="375"/>
      <c r="H21" s="375"/>
      <c r="I21" s="375" t="s">
        <v>64</v>
      </c>
      <c r="J21" s="375"/>
      <c r="K21" s="375"/>
      <c r="L21" s="375"/>
      <c r="M21" s="461" t="s">
        <v>262</v>
      </c>
      <c r="N21" s="461"/>
      <c r="O21" s="461"/>
      <c r="P21" s="461"/>
      <c r="Q21" s="462"/>
      <c r="R21" s="239" t="s">
        <v>263</v>
      </c>
      <c r="S21" s="239"/>
      <c r="T21" s="239"/>
      <c r="U21" s="463">
        <f>IF(ISBLANK(R21),9,IF(R21="OK",9,1))</f>
        <v>9</v>
      </c>
      <c r="V21" s="463"/>
      <c r="W21" s="463"/>
      <c r="X21" s="239" t="s">
        <v>409</v>
      </c>
      <c r="Y21" s="239"/>
      <c r="Z21" s="239"/>
      <c r="AA21" s="239"/>
      <c r="AB21" s="239"/>
      <c r="AC21" s="242"/>
      <c r="AD21" s="26"/>
    </row>
    <row r="22" spans="2:30" ht="37.35" customHeight="1" thickBot="1">
      <c r="B22" s="21"/>
      <c r="E22" s="467" t="s">
        <v>268</v>
      </c>
      <c r="F22" s="379"/>
      <c r="G22" s="379"/>
      <c r="H22" s="379"/>
      <c r="I22" s="379" t="s">
        <v>64</v>
      </c>
      <c r="J22" s="379"/>
      <c r="K22" s="379"/>
      <c r="L22" s="379"/>
      <c r="M22" s="468" t="s">
        <v>262</v>
      </c>
      <c r="N22" s="468"/>
      <c r="O22" s="468"/>
      <c r="P22" s="468"/>
      <c r="Q22" s="469"/>
      <c r="R22" s="244" t="s">
        <v>263</v>
      </c>
      <c r="S22" s="244"/>
      <c r="T22" s="244"/>
      <c r="U22" s="279">
        <f t="shared" ref="U22:U30" si="1">IF(ISBLANK(R22),9,IF(R22="OK",9,1))</f>
        <v>9</v>
      </c>
      <c r="V22" s="279"/>
      <c r="W22" s="279"/>
      <c r="X22" s="239" t="s">
        <v>403</v>
      </c>
      <c r="Y22" s="239"/>
      <c r="Z22" s="239"/>
      <c r="AA22" s="239"/>
      <c r="AB22" s="239"/>
      <c r="AC22" s="242"/>
      <c r="AD22" s="26"/>
    </row>
    <row r="23" spans="2:30" ht="37.35" customHeight="1" thickBot="1">
      <c r="B23" s="21"/>
      <c r="E23" s="467" t="s">
        <v>269</v>
      </c>
      <c r="F23" s="379"/>
      <c r="G23" s="379"/>
      <c r="H23" s="379"/>
      <c r="I23" s="379" t="s">
        <v>270</v>
      </c>
      <c r="J23" s="379"/>
      <c r="K23" s="379"/>
      <c r="L23" s="379"/>
      <c r="M23" s="468" t="s">
        <v>262</v>
      </c>
      <c r="N23" s="468"/>
      <c r="O23" s="468"/>
      <c r="P23" s="468"/>
      <c r="Q23" s="469"/>
      <c r="R23" s="475" t="s">
        <v>263</v>
      </c>
      <c r="S23" s="476"/>
      <c r="T23" s="243"/>
      <c r="U23" s="477">
        <f t="shared" si="1"/>
        <v>9</v>
      </c>
      <c r="V23" s="478"/>
      <c r="W23" s="479"/>
      <c r="X23" s="239" t="s">
        <v>404</v>
      </c>
      <c r="Y23" s="239"/>
      <c r="Z23" s="239"/>
      <c r="AA23" s="239"/>
      <c r="AB23" s="239"/>
      <c r="AC23" s="242"/>
      <c r="AD23" s="26"/>
    </row>
    <row r="24" spans="2:30" ht="37.35" customHeight="1" thickBot="1">
      <c r="B24" s="21"/>
      <c r="E24" s="467" t="s">
        <v>271</v>
      </c>
      <c r="F24" s="379"/>
      <c r="G24" s="379"/>
      <c r="H24" s="379"/>
      <c r="I24" s="379" t="s">
        <v>64</v>
      </c>
      <c r="J24" s="379"/>
      <c r="K24" s="379"/>
      <c r="L24" s="379"/>
      <c r="M24" s="468" t="s">
        <v>272</v>
      </c>
      <c r="N24" s="468"/>
      <c r="O24" s="468"/>
      <c r="P24" s="468"/>
      <c r="Q24" s="469"/>
      <c r="R24" s="475" t="s">
        <v>263</v>
      </c>
      <c r="S24" s="476"/>
      <c r="T24" s="243"/>
      <c r="U24" s="477">
        <f t="shared" si="1"/>
        <v>9</v>
      </c>
      <c r="V24" s="478"/>
      <c r="W24" s="479"/>
      <c r="X24" s="239" t="s">
        <v>405</v>
      </c>
      <c r="Y24" s="239"/>
      <c r="Z24" s="239"/>
      <c r="AA24" s="239"/>
      <c r="AB24" s="239"/>
      <c r="AC24" s="242"/>
      <c r="AD24" s="26"/>
    </row>
    <row r="25" spans="2:30" ht="37.35" customHeight="1" thickBot="1">
      <c r="B25" s="21"/>
      <c r="E25" s="467" t="s">
        <v>273</v>
      </c>
      <c r="F25" s="379"/>
      <c r="G25" s="379"/>
      <c r="H25" s="379"/>
      <c r="I25" s="379" t="s">
        <v>64</v>
      </c>
      <c r="J25" s="379"/>
      <c r="K25" s="379"/>
      <c r="L25" s="379"/>
      <c r="M25" s="468" t="s">
        <v>272</v>
      </c>
      <c r="N25" s="468"/>
      <c r="O25" s="468"/>
      <c r="P25" s="468"/>
      <c r="Q25" s="469"/>
      <c r="R25" s="244"/>
      <c r="S25" s="244"/>
      <c r="T25" s="244"/>
      <c r="U25" s="279">
        <f t="shared" si="1"/>
        <v>9</v>
      </c>
      <c r="V25" s="279"/>
      <c r="W25" s="279"/>
      <c r="X25" s="239"/>
      <c r="Y25" s="239"/>
      <c r="Z25" s="239"/>
      <c r="AA25" s="239"/>
      <c r="AB25" s="239"/>
      <c r="AC25" s="242"/>
      <c r="AD25" s="26"/>
    </row>
    <row r="26" spans="2:30" ht="37.35" customHeight="1" thickBot="1">
      <c r="B26" s="21"/>
      <c r="E26" s="467" t="s">
        <v>274</v>
      </c>
      <c r="F26" s="379"/>
      <c r="G26" s="379"/>
      <c r="H26" s="379"/>
      <c r="I26" s="379" t="s">
        <v>64</v>
      </c>
      <c r="J26" s="379"/>
      <c r="K26" s="379"/>
      <c r="L26" s="379"/>
      <c r="M26" s="468" t="s">
        <v>272</v>
      </c>
      <c r="N26" s="468"/>
      <c r="O26" s="468"/>
      <c r="P26" s="468"/>
      <c r="Q26" s="469"/>
      <c r="R26" s="244"/>
      <c r="S26" s="244"/>
      <c r="T26" s="244"/>
      <c r="U26" s="279">
        <f t="shared" si="1"/>
        <v>9</v>
      </c>
      <c r="V26" s="279"/>
      <c r="W26" s="279"/>
      <c r="X26" s="239"/>
      <c r="Y26" s="239"/>
      <c r="Z26" s="239"/>
      <c r="AA26" s="239"/>
      <c r="AB26" s="239"/>
      <c r="AC26" s="242"/>
      <c r="AD26" s="26"/>
    </row>
    <row r="27" spans="2:30" ht="37.35" customHeight="1">
      <c r="B27" s="21"/>
      <c r="E27" s="467" t="s">
        <v>275</v>
      </c>
      <c r="F27" s="379"/>
      <c r="G27" s="379"/>
      <c r="H27" s="379"/>
      <c r="I27" s="379" t="s">
        <v>270</v>
      </c>
      <c r="J27" s="379"/>
      <c r="K27" s="379"/>
      <c r="L27" s="379"/>
      <c r="M27" s="468" t="s">
        <v>272</v>
      </c>
      <c r="N27" s="468"/>
      <c r="O27" s="468"/>
      <c r="P27" s="468"/>
      <c r="Q27" s="469"/>
      <c r="R27" s="244" t="s">
        <v>263</v>
      </c>
      <c r="S27" s="244"/>
      <c r="T27" s="244"/>
      <c r="U27" s="279">
        <f t="shared" si="1"/>
        <v>9</v>
      </c>
      <c r="V27" s="279"/>
      <c r="W27" s="279"/>
      <c r="X27" s="239" t="s">
        <v>406</v>
      </c>
      <c r="Y27" s="239"/>
      <c r="Z27" s="239"/>
      <c r="AA27" s="239"/>
      <c r="AB27" s="239"/>
      <c r="AC27" s="242"/>
      <c r="AD27" s="26"/>
    </row>
    <row r="28" spans="2:30" ht="37.35" customHeight="1">
      <c r="B28" s="21"/>
      <c r="E28" s="467" t="s">
        <v>276</v>
      </c>
      <c r="F28" s="379"/>
      <c r="G28" s="379"/>
      <c r="H28" s="379"/>
      <c r="I28" s="379" t="s">
        <v>270</v>
      </c>
      <c r="J28" s="379"/>
      <c r="K28" s="379"/>
      <c r="L28" s="379"/>
      <c r="M28" s="468" t="s">
        <v>272</v>
      </c>
      <c r="N28" s="468"/>
      <c r="O28" s="468"/>
      <c r="P28" s="468"/>
      <c r="Q28" s="469"/>
      <c r="R28" s="244"/>
      <c r="S28" s="244"/>
      <c r="T28" s="244"/>
      <c r="U28" s="279">
        <f t="shared" si="1"/>
        <v>9</v>
      </c>
      <c r="V28" s="279"/>
      <c r="W28" s="279"/>
      <c r="X28" s="244"/>
      <c r="Y28" s="244"/>
      <c r="Z28" s="244"/>
      <c r="AA28" s="244"/>
      <c r="AB28" s="244"/>
      <c r="AC28" s="245"/>
      <c r="AD28" s="26"/>
    </row>
    <row r="29" spans="2:30" ht="37.35" customHeight="1">
      <c r="B29" s="21"/>
      <c r="E29" s="467" t="s">
        <v>277</v>
      </c>
      <c r="F29" s="379"/>
      <c r="G29" s="379"/>
      <c r="H29" s="379"/>
      <c r="I29" s="379" t="s">
        <v>270</v>
      </c>
      <c r="J29" s="379"/>
      <c r="K29" s="379"/>
      <c r="L29" s="379"/>
      <c r="M29" s="468" t="s">
        <v>272</v>
      </c>
      <c r="N29" s="468"/>
      <c r="O29" s="468"/>
      <c r="P29" s="468"/>
      <c r="Q29" s="469"/>
      <c r="R29" s="244"/>
      <c r="S29" s="244"/>
      <c r="T29" s="244"/>
      <c r="U29" s="279">
        <f t="shared" si="1"/>
        <v>9</v>
      </c>
      <c r="V29" s="279"/>
      <c r="W29" s="279"/>
      <c r="X29" s="244"/>
      <c r="Y29" s="244"/>
      <c r="Z29" s="244"/>
      <c r="AA29" s="244"/>
      <c r="AB29" s="244"/>
      <c r="AC29" s="245"/>
      <c r="AD29" s="26"/>
    </row>
    <row r="30" spans="2:30" ht="37.35" customHeight="1" thickBot="1">
      <c r="B30" s="21"/>
      <c r="E30" s="470" t="s">
        <v>393</v>
      </c>
      <c r="F30" s="390"/>
      <c r="G30" s="390"/>
      <c r="H30" s="390"/>
      <c r="I30" s="390" t="s">
        <v>270</v>
      </c>
      <c r="J30" s="390"/>
      <c r="K30" s="390"/>
      <c r="L30" s="390"/>
      <c r="M30" s="471" t="s">
        <v>272</v>
      </c>
      <c r="N30" s="471"/>
      <c r="O30" s="471"/>
      <c r="P30" s="471"/>
      <c r="Q30" s="472"/>
      <c r="R30" s="251"/>
      <c r="S30" s="251"/>
      <c r="T30" s="251"/>
      <c r="U30" s="473">
        <f t="shared" si="1"/>
        <v>9</v>
      </c>
      <c r="V30" s="473"/>
      <c r="W30" s="473"/>
      <c r="X30" s="251"/>
      <c r="Y30" s="251"/>
      <c r="Z30" s="251"/>
      <c r="AA30" s="251"/>
      <c r="AB30" s="251"/>
      <c r="AC30" s="252"/>
      <c r="AD30" s="26"/>
    </row>
    <row r="31" spans="2:30" ht="17.100000000000001" customHeight="1">
      <c r="B31" s="21"/>
      <c r="E31" s="140" t="s">
        <v>122</v>
      </c>
      <c r="F31" s="474" t="s">
        <v>264</v>
      </c>
      <c r="G31" s="36"/>
      <c r="H31" s="36"/>
      <c r="I31" s="36"/>
      <c r="J31" s="36"/>
      <c r="K31" s="36"/>
      <c r="L31" s="36"/>
      <c r="M31" s="36"/>
      <c r="N31" s="35"/>
      <c r="O31" s="35"/>
      <c r="P31" s="35"/>
      <c r="AD31" s="26"/>
    </row>
    <row r="32" spans="2:30" ht="17.100000000000001" customHeight="1">
      <c r="B32" s="21"/>
      <c r="E32" s="37"/>
      <c r="F32" s="474"/>
      <c r="G32" s="36"/>
      <c r="H32" s="36"/>
      <c r="I32" s="36"/>
      <c r="J32" s="36"/>
      <c r="K32" s="36"/>
      <c r="L32" s="36"/>
      <c r="M32" s="36"/>
      <c r="N32" s="35"/>
      <c r="O32" s="35"/>
      <c r="P32" s="35"/>
      <c r="AD32" s="26"/>
    </row>
    <row r="33" spans="2:30" ht="17.100000000000001" customHeight="1">
      <c r="B33" s="21"/>
      <c r="E33" s="404" t="s">
        <v>278</v>
      </c>
      <c r="F33" s="404"/>
      <c r="G33" s="404"/>
      <c r="H33" s="404"/>
      <c r="I33" s="404"/>
      <c r="J33" s="404"/>
      <c r="K33" s="404"/>
      <c r="L33" s="404"/>
      <c r="M33" s="404"/>
      <c r="N33" s="404"/>
      <c r="O33" s="404"/>
      <c r="P33" s="404"/>
      <c r="Q33" s="256">
        <f>MIN(U27,U28,U29,U30,U26,U25,U24,U23,U22,U21)</f>
        <v>9</v>
      </c>
      <c r="R33" s="256"/>
      <c r="S33" s="256"/>
      <c r="T33" s="256"/>
      <c r="AD33" s="26"/>
    </row>
    <row r="34" spans="2:30" ht="17.100000000000001" customHeight="1">
      <c r="B34" s="21"/>
      <c r="E34" s="36"/>
      <c r="F34" s="36"/>
      <c r="G34" s="36"/>
      <c r="H34" s="36"/>
      <c r="I34" s="36"/>
      <c r="J34" s="36"/>
      <c r="K34" s="36"/>
      <c r="L34" s="36"/>
      <c r="M34" s="36"/>
      <c r="N34" s="35"/>
      <c r="O34" s="35"/>
      <c r="P34" s="35"/>
      <c r="AD34" s="26"/>
    </row>
    <row r="35" spans="2:30" ht="17.100000000000001" customHeight="1">
      <c r="B35" s="21"/>
      <c r="C35" s="458" t="s">
        <v>279</v>
      </c>
      <c r="D35" s="29"/>
      <c r="E35" s="29" t="s">
        <v>117</v>
      </c>
      <c r="AD35" s="26"/>
    </row>
    <row r="36" spans="2:30" ht="17.100000000000001" customHeight="1">
      <c r="B36" s="21"/>
      <c r="E36" s="244" t="s">
        <v>394</v>
      </c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6"/>
    </row>
    <row r="37" spans="2:30" ht="17.100000000000001" customHeight="1">
      <c r="B37" s="21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6"/>
    </row>
    <row r="38" spans="2:30" ht="17.100000000000001" customHeight="1">
      <c r="B38" s="21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6"/>
    </row>
    <row r="39" spans="2:30" ht="17.100000000000001" customHeight="1">
      <c r="B39" s="21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6"/>
    </row>
    <row r="40" spans="2:30" ht="17.100000000000001" customHeight="1">
      <c r="B40" s="21"/>
      <c r="AD40" s="26"/>
    </row>
    <row r="41" spans="2:30" ht="17.100000000000001" customHeight="1">
      <c r="B41" s="21"/>
      <c r="C41" s="458" t="s">
        <v>280</v>
      </c>
      <c r="D41" s="29"/>
      <c r="E41" s="29" t="s">
        <v>120</v>
      </c>
      <c r="F41" s="29"/>
      <c r="AD41" s="26"/>
    </row>
    <row r="42" spans="2:30" ht="17.100000000000001" customHeight="1">
      <c r="B42" s="21"/>
      <c r="E42" s="404" t="s">
        <v>281</v>
      </c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256">
        <f>MIN(Q16,Q33)</f>
        <v>9</v>
      </c>
      <c r="R42" s="256"/>
      <c r="S42" s="256"/>
      <c r="T42" s="256"/>
      <c r="AD42" s="26"/>
    </row>
    <row r="43" spans="2:30" ht="17.100000000000001" customHeight="1" thickBot="1">
      <c r="B43" s="21"/>
      <c r="AD43" s="26"/>
    </row>
    <row r="44" spans="2:30" ht="17.100000000000001" customHeight="1" thickBot="1">
      <c r="B44" s="21"/>
      <c r="C44" s="412" t="s">
        <v>19</v>
      </c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 t="s">
        <v>20</v>
      </c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9"/>
      <c r="AD44" s="26"/>
    </row>
    <row r="45" spans="2:30" ht="17.100000000000001" customHeight="1">
      <c r="B45" s="21"/>
      <c r="C45" s="480">
        <v>1</v>
      </c>
      <c r="D45" s="286" t="s">
        <v>395</v>
      </c>
      <c r="E45" s="286"/>
      <c r="F45" s="286"/>
      <c r="G45" s="286"/>
      <c r="H45" s="286"/>
      <c r="I45" s="286"/>
      <c r="J45" s="286"/>
      <c r="K45" s="286"/>
      <c r="L45" s="286"/>
      <c r="M45" s="286"/>
      <c r="N45" s="195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7"/>
      <c r="AD45" s="26"/>
    </row>
    <row r="46" spans="2:30" ht="17.100000000000001" customHeight="1">
      <c r="B46" s="21"/>
      <c r="C46" s="481">
        <v>2</v>
      </c>
      <c r="D46" s="294" t="s">
        <v>396</v>
      </c>
      <c r="E46" s="294"/>
      <c r="F46" s="294"/>
      <c r="G46" s="294"/>
      <c r="H46" s="294"/>
      <c r="I46" s="294"/>
      <c r="J46" s="294"/>
      <c r="K46" s="294"/>
      <c r="L46" s="294"/>
      <c r="M46" s="294"/>
      <c r="N46" s="1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374"/>
      <c r="AD46" s="26"/>
    </row>
    <row r="47" spans="2:30" ht="17.100000000000001" customHeight="1">
      <c r="B47" s="21"/>
      <c r="C47" s="481">
        <v>3</v>
      </c>
      <c r="D47" s="294" t="s">
        <v>397</v>
      </c>
      <c r="E47" s="294"/>
      <c r="F47" s="294"/>
      <c r="G47" s="294"/>
      <c r="H47" s="294"/>
      <c r="I47" s="294"/>
      <c r="J47" s="294"/>
      <c r="K47" s="294"/>
      <c r="L47" s="294"/>
      <c r="M47" s="294"/>
      <c r="N47" s="1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  <c r="AC47" s="374"/>
      <c r="AD47" s="26"/>
    </row>
    <row r="48" spans="2:30" ht="17.100000000000001" customHeight="1">
      <c r="B48" s="21"/>
      <c r="C48" s="481">
        <v>4</v>
      </c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1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374"/>
      <c r="AD48" s="26"/>
    </row>
    <row r="49" spans="2:30" ht="17.100000000000001" customHeight="1" thickBot="1">
      <c r="B49" s="21"/>
      <c r="C49" s="482">
        <v>5</v>
      </c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196"/>
      <c r="O49" s="292" t="s">
        <v>398</v>
      </c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  <c r="AA49" s="292"/>
      <c r="AB49" s="292"/>
      <c r="AC49" s="293"/>
      <c r="AD49" s="26"/>
    </row>
    <row r="50" spans="2:30" ht="17.100000000000001" customHeight="1" thickBot="1"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4"/>
    </row>
  </sheetData>
  <sheetProtection algorithmName="SHA-512" hashValue="VjU6IDkbzx0qos1HPzaHU9OAoplffADRPxLiAS3ajqXkaHxIF8dK3SA4WcKeAkt54bM+56yLphKTSZMgJaxUww==" saltValue="mS/6ZQ+raHIuuB+CVHRYpA==" spinCount="100000" sheet="1" objects="1" scenarios="1"/>
  <mergeCells count="116">
    <mergeCell ref="D45:M45"/>
    <mergeCell ref="O45:AC48"/>
    <mergeCell ref="D46:M46"/>
    <mergeCell ref="D47:M47"/>
    <mergeCell ref="D48:M48"/>
    <mergeCell ref="D49:M49"/>
    <mergeCell ref="O49:AC49"/>
    <mergeCell ref="E33:P33"/>
    <mergeCell ref="Q33:T33"/>
    <mergeCell ref="E36:AC39"/>
    <mergeCell ref="E42:P42"/>
    <mergeCell ref="Q42:T42"/>
    <mergeCell ref="C44:N44"/>
    <mergeCell ref="O44:AC44"/>
    <mergeCell ref="E30:H30"/>
    <mergeCell ref="I30:L30"/>
    <mergeCell ref="M30:Q30"/>
    <mergeCell ref="R30:T30"/>
    <mergeCell ref="U30:W30"/>
    <mergeCell ref="X30:AC30"/>
    <mergeCell ref="E29:H29"/>
    <mergeCell ref="I29:L29"/>
    <mergeCell ref="M29:Q29"/>
    <mergeCell ref="R29:T29"/>
    <mergeCell ref="U29:W29"/>
    <mergeCell ref="X29:AC29"/>
    <mergeCell ref="E28:H28"/>
    <mergeCell ref="I28:L28"/>
    <mergeCell ref="M28:Q28"/>
    <mergeCell ref="R28:T28"/>
    <mergeCell ref="U28:W28"/>
    <mergeCell ref="X28:AC28"/>
    <mergeCell ref="E27:H27"/>
    <mergeCell ref="I27:L27"/>
    <mergeCell ref="M27:Q27"/>
    <mergeCell ref="R27:T27"/>
    <mergeCell ref="U27:W27"/>
    <mergeCell ref="X27:AC27"/>
    <mergeCell ref="E26:H26"/>
    <mergeCell ref="I26:L26"/>
    <mergeCell ref="M26:Q26"/>
    <mergeCell ref="R26:T26"/>
    <mergeCell ref="U26:W26"/>
    <mergeCell ref="X26:AC26"/>
    <mergeCell ref="E25:H25"/>
    <mergeCell ref="I25:L25"/>
    <mergeCell ref="M25:Q25"/>
    <mergeCell ref="R25:T25"/>
    <mergeCell ref="U25:W25"/>
    <mergeCell ref="X25:AC25"/>
    <mergeCell ref="E24:H24"/>
    <mergeCell ref="I24:L24"/>
    <mergeCell ref="M24:Q24"/>
    <mergeCell ref="R24:T24"/>
    <mergeCell ref="U24:W24"/>
    <mergeCell ref="X24:AC24"/>
    <mergeCell ref="E23:H23"/>
    <mergeCell ref="I23:L23"/>
    <mergeCell ref="M23:Q23"/>
    <mergeCell ref="R23:T23"/>
    <mergeCell ref="U23:W23"/>
    <mergeCell ref="X23:AC23"/>
    <mergeCell ref="E22:H22"/>
    <mergeCell ref="I22:L22"/>
    <mergeCell ref="M22:Q22"/>
    <mergeCell ref="R22:T22"/>
    <mergeCell ref="U22:W22"/>
    <mergeCell ref="X22:AC22"/>
    <mergeCell ref="U20:W20"/>
    <mergeCell ref="X20:AC20"/>
    <mergeCell ref="E21:H21"/>
    <mergeCell ref="I21:L21"/>
    <mergeCell ref="M21:Q21"/>
    <mergeCell ref="R21:T21"/>
    <mergeCell ref="U21:W21"/>
    <mergeCell ref="X21:AC21"/>
    <mergeCell ref="E16:P16"/>
    <mergeCell ref="Q16:T16"/>
    <mergeCell ref="E20:H20"/>
    <mergeCell ref="I20:L20"/>
    <mergeCell ref="M20:Q20"/>
    <mergeCell ref="R20:T20"/>
    <mergeCell ref="E13:H13"/>
    <mergeCell ref="I13:L13"/>
    <mergeCell ref="M13:Q13"/>
    <mergeCell ref="R13:T13"/>
    <mergeCell ref="U13:W13"/>
    <mergeCell ref="X13:AC13"/>
    <mergeCell ref="E12:H12"/>
    <mergeCell ref="I12:L12"/>
    <mergeCell ref="M12:Q12"/>
    <mergeCell ref="R12:T12"/>
    <mergeCell ref="U12:W12"/>
    <mergeCell ref="X12:AC12"/>
    <mergeCell ref="E11:H11"/>
    <mergeCell ref="I11:L11"/>
    <mergeCell ref="M11:Q11"/>
    <mergeCell ref="R11:T11"/>
    <mergeCell ref="U11:W11"/>
    <mergeCell ref="X11:AC11"/>
    <mergeCell ref="R9:T9"/>
    <mergeCell ref="U9:W9"/>
    <mergeCell ref="X9:AC9"/>
    <mergeCell ref="E10:H10"/>
    <mergeCell ref="I10:L10"/>
    <mergeCell ref="M10:Q10"/>
    <mergeCell ref="R10:T10"/>
    <mergeCell ref="U10:W10"/>
    <mergeCell ref="X10:AC10"/>
    <mergeCell ref="E4:F4"/>
    <mergeCell ref="H4:M4"/>
    <mergeCell ref="E5:F5"/>
    <mergeCell ref="H5:M5"/>
    <mergeCell ref="E9:H9"/>
    <mergeCell ref="I9:L9"/>
    <mergeCell ref="M9:Q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3" fitToHeight="0" orientation="portrait" horizontalDpi="1200" verticalDpi="1200" r:id="rId1"/>
  <rowBreaks count="1" manualBreakCount="1">
    <brk id="3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COVER</vt:lpstr>
      <vt:lpstr>DIFF-REF MAIN A</vt:lpstr>
      <vt:lpstr>DIFF-REF MAIN B</vt:lpstr>
      <vt:lpstr>CCP MAIN A</vt:lpstr>
      <vt:lpstr>CCP MAIN B</vt:lpstr>
      <vt:lpstr>OCR-GFR HV</vt:lpstr>
      <vt:lpstr>OCR-GFR LV</vt:lpstr>
      <vt:lpstr>NVDR-OV</vt:lpstr>
      <vt:lpstr>UJI FUNGSI</vt:lpstr>
      <vt:lpstr>'CCP MAIN A'!Print_Area</vt:lpstr>
      <vt:lpstr>'CCP MAIN B'!Print_Area</vt:lpstr>
      <vt:lpstr>COVER!Print_Area</vt:lpstr>
      <vt:lpstr>'DIFF-REF MAIN A'!Print_Area</vt:lpstr>
      <vt:lpstr>'DIFF-REF MAIN B'!Print_Area</vt:lpstr>
      <vt:lpstr>'OCR-GFR HV'!Print_Area</vt:lpstr>
      <vt:lpstr>'OCR-GFR LV'!Print_Area</vt:lpstr>
      <vt:lpstr>'UJI FUNGSI'!Print_Area</vt:lpstr>
      <vt:lpstr>'CCP MAIN A'!Print_Titles</vt:lpstr>
      <vt:lpstr>'CCP MAIN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Mursyid Maulana</dc:creator>
  <cp:lastModifiedBy>Riki Hardianto</cp:lastModifiedBy>
  <cp:lastPrinted>2025-11-09T09:18:06Z</cp:lastPrinted>
  <dcterms:created xsi:type="dcterms:W3CDTF">2024-09-03T04:23:15Z</dcterms:created>
  <dcterms:modified xsi:type="dcterms:W3CDTF">2026-04-07T07:04:41Z</dcterms:modified>
</cp:coreProperties>
</file>
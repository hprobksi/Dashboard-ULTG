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PHAR\2026\07. JULI\GI RAJAPAKSI\KOPEL\"/>
    </mc:Choice>
  </mc:AlternateContent>
  <xr:revisionPtr revIDLastSave="0" documentId="13_ncr:1_{780FCA64-D897-4CB1-B341-564CADEE0774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OVER" sheetId="4" r:id="rId1"/>
    <sheet name="LCD" sheetId="1" r:id="rId2"/>
    <sheet name="DISTANCE" sheetId="3" r:id="rId3"/>
    <sheet name="OCR-GFR" sheetId="8" r:id="rId4"/>
    <sheet name="UJI FUNGSI" sheetId="6" r:id="rId5"/>
    <sheet name="DATA VALIDASI" sheetId="7" state="hidden" r:id="rId6"/>
  </sheets>
  <definedNames>
    <definedName name="_xlnm.Print_Area" localSheetId="0">COVER!$B$2:$AD$42</definedName>
    <definedName name="_xlnm.Print_Area" localSheetId="2">DISTANCE!$B$2:$AG$196</definedName>
    <definedName name="_xlnm.Print_Area" localSheetId="1">LCD!$B$2:$AG$63</definedName>
    <definedName name="_xlnm.Print_Area" localSheetId="3">'OCR-GFR'!$B$2:$AG$65</definedName>
    <definedName name="_xlnm.Print_Area" localSheetId="4">'UJI FUNGSI'!$B$2:$AG$99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8" l="1"/>
  <c r="U26" i="6" l="1"/>
  <c r="X29" i="6"/>
  <c r="S95" i="3"/>
  <c r="W66" i="3"/>
  <c r="L12" i="3"/>
  <c r="S23" i="1"/>
  <c r="Q10" i="1"/>
  <c r="U16" i="6"/>
  <c r="U17" i="6"/>
  <c r="AD143" i="3"/>
  <c r="AD144" i="3"/>
  <c r="AD145" i="3"/>
  <c r="AD146" i="3"/>
  <c r="AD147" i="3"/>
  <c r="AD148" i="3"/>
  <c r="AD149" i="3"/>
  <c r="AD142" i="3"/>
  <c r="P150" i="3"/>
  <c r="P143" i="3"/>
  <c r="P144" i="3"/>
  <c r="P145" i="3"/>
  <c r="P146" i="3"/>
  <c r="P147" i="3"/>
  <c r="P148" i="3"/>
  <c r="P142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18" i="3"/>
  <c r="P133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18" i="3"/>
  <c r="S94" i="3"/>
  <c r="S93" i="3"/>
  <c r="S76" i="3"/>
  <c r="S75" i="3"/>
  <c r="S104" i="3"/>
  <c r="R46" i="1"/>
  <c r="M30" i="8" l="1"/>
  <c r="M18" i="8"/>
  <c r="M19" i="8" s="1"/>
  <c r="U10" i="6"/>
  <c r="U11" i="6"/>
  <c r="U12" i="6"/>
  <c r="U13" i="6"/>
  <c r="U14" i="6"/>
  <c r="U15" i="6"/>
  <c r="U18" i="6"/>
  <c r="U19" i="6"/>
  <c r="X79" i="6"/>
  <c r="AB21" i="8"/>
  <c r="AB22" i="8" s="1"/>
  <c r="M21" i="8"/>
  <c r="M22" i="8" s="1"/>
  <c r="W18" i="8"/>
  <c r="W19" i="8" s="1"/>
  <c r="AB18" i="8"/>
  <c r="AB19" i="8" s="1"/>
  <c r="Q166" i="3"/>
  <c r="Q168" i="3" s="1"/>
  <c r="Q169" i="3" s="1"/>
  <c r="N159" i="3"/>
  <c r="N158" i="3"/>
  <c r="P149" i="3"/>
  <c r="AD150" i="3"/>
  <c r="AE152" i="3" s="1"/>
  <c r="AD133" i="3"/>
  <c r="AD135" i="3" s="1"/>
  <c r="P132" i="3"/>
  <c r="W86" i="3"/>
  <c r="W84" i="3"/>
  <c r="N86" i="3"/>
  <c r="N84" i="3"/>
  <c r="P78" i="3"/>
  <c r="W68" i="3"/>
  <c r="W67" i="3"/>
  <c r="N68" i="3"/>
  <c r="N66" i="3"/>
  <c r="Z66" i="3" s="1"/>
  <c r="AA57" i="3"/>
  <c r="AA58" i="3" s="1"/>
  <c r="L57" i="3"/>
  <c r="L58" i="3" s="1"/>
  <c r="AA53" i="3"/>
  <c r="AA54" i="3" s="1"/>
  <c r="L53" i="3"/>
  <c r="AA49" i="3"/>
  <c r="L49" i="3"/>
  <c r="L50" i="3" s="1"/>
  <c r="AD34" i="3"/>
  <c r="L34" i="3"/>
  <c r="L38" i="3"/>
  <c r="O34" i="3"/>
  <c r="R34" i="3"/>
  <c r="U34" i="3"/>
  <c r="X34" i="3"/>
  <c r="AA34" i="3"/>
  <c r="L30" i="3"/>
  <c r="L31" i="3" s="1"/>
  <c r="AD30" i="3"/>
  <c r="AD31" i="3" s="1"/>
  <c r="O30" i="3"/>
  <c r="R30" i="3"/>
  <c r="U30" i="3"/>
  <c r="X30" i="3"/>
  <c r="AA30" i="3"/>
  <c r="S29" i="1"/>
  <c r="W29" i="1" s="1"/>
  <c r="W23" i="1"/>
  <c r="S24" i="1"/>
  <c r="S25" i="1"/>
  <c r="S26" i="1"/>
  <c r="S27" i="1"/>
  <c r="S28" i="1"/>
  <c r="AD20" i="3"/>
  <c r="AD21" i="3" s="1"/>
  <c r="L20" i="3"/>
  <c r="L21" i="3" s="1"/>
  <c r="AD16" i="3"/>
  <c r="AD17" i="3" s="1"/>
  <c r="L16" i="3"/>
  <c r="L17" i="3" s="1"/>
  <c r="L13" i="3"/>
  <c r="AD12" i="3"/>
  <c r="AD13" i="3" s="1"/>
  <c r="U10" i="1"/>
  <c r="Z86" i="3" l="1"/>
  <c r="P153" i="3"/>
  <c r="P136" i="3"/>
  <c r="Z68" i="3"/>
  <c r="Z84" i="3"/>
  <c r="P135" i="3"/>
  <c r="P152" i="3"/>
  <c r="Q135" i="3"/>
  <c r="Q152" i="3"/>
  <c r="P22" i="6"/>
  <c r="AE135" i="3"/>
  <c r="AD152" i="3"/>
  <c r="P161" i="3"/>
  <c r="P98" i="3"/>
  <c r="Q16" i="1"/>
  <c r="U16" i="1" s="1"/>
  <c r="O57" i="3"/>
  <c r="O58" i="3" s="1"/>
  <c r="R57" i="3"/>
  <c r="R58" i="3" s="1"/>
  <c r="U57" i="3"/>
  <c r="U58" i="3" s="1"/>
  <c r="X57" i="3"/>
  <c r="X58" i="3" s="1"/>
  <c r="O53" i="3"/>
  <c r="O54" i="3" s="1"/>
  <c r="R53" i="3"/>
  <c r="R54" i="3" s="1"/>
  <c r="U53" i="3"/>
  <c r="U54" i="3" s="1"/>
  <c r="X53" i="3"/>
  <c r="X54" i="3" s="1"/>
  <c r="O49" i="3"/>
  <c r="O50" i="3" s="1"/>
  <c r="R49" i="3"/>
  <c r="R50" i="3" s="1"/>
  <c r="U49" i="3"/>
  <c r="U50" i="3" s="1"/>
  <c r="X49" i="3"/>
  <c r="X50" i="3" s="1"/>
  <c r="AD38" i="3"/>
  <c r="AD39" i="3" s="1"/>
  <c r="O38" i="3"/>
  <c r="O39" i="3" s="1"/>
  <c r="R38" i="3"/>
  <c r="R39" i="3" s="1"/>
  <c r="U38" i="3"/>
  <c r="U39" i="3" s="1"/>
  <c r="X38" i="3"/>
  <c r="X39" i="3" s="1"/>
  <c r="AA38" i="3"/>
  <c r="AA39" i="3" s="1"/>
  <c r="L39" i="3"/>
  <c r="R35" i="3"/>
  <c r="X35" i="3"/>
  <c r="X31" i="3"/>
  <c r="O20" i="3"/>
  <c r="O21" i="3" s="1"/>
  <c r="R20" i="3"/>
  <c r="R21" i="3" s="1"/>
  <c r="U20" i="3"/>
  <c r="U21" i="3" s="1"/>
  <c r="X20" i="3"/>
  <c r="X21" i="3" s="1"/>
  <c r="AA20" i="3"/>
  <c r="AA21" i="3" s="1"/>
  <c r="O16" i="3"/>
  <c r="O17" i="3" s="1"/>
  <c r="R16" i="3"/>
  <c r="R17" i="3" s="1"/>
  <c r="U16" i="3"/>
  <c r="U17" i="3" s="1"/>
  <c r="X16" i="3"/>
  <c r="X17" i="3" s="1"/>
  <c r="AA16" i="3"/>
  <c r="AA17" i="3" s="1"/>
  <c r="O12" i="3"/>
  <c r="O13" i="3" s="1"/>
  <c r="R12" i="3"/>
  <c r="R13" i="3" s="1"/>
  <c r="U12" i="3"/>
  <c r="U13" i="3" s="1"/>
  <c r="X12" i="3"/>
  <c r="X13" i="3" s="1"/>
  <c r="AA12" i="3"/>
  <c r="AA13" i="3" s="1"/>
  <c r="X80" i="6"/>
  <c r="P82" i="6" s="1"/>
  <c r="O31" i="3"/>
  <c r="AB41" i="8"/>
  <c r="AB42" i="8" s="1"/>
  <c r="AB44" i="8" s="1"/>
  <c r="W41" i="8"/>
  <c r="W42" i="8" s="1"/>
  <c r="W44" i="8" s="1"/>
  <c r="R41" i="8"/>
  <c r="R42" i="8" s="1"/>
  <c r="R44" i="8" s="1"/>
  <c r="M41" i="8"/>
  <c r="AB37" i="8"/>
  <c r="AB38" i="8" s="1"/>
  <c r="AB40" i="8" s="1"/>
  <c r="W37" i="8"/>
  <c r="W38" i="8" s="1"/>
  <c r="W40" i="8" s="1"/>
  <c r="R37" i="8"/>
  <c r="R38" i="8" s="1"/>
  <c r="R40" i="8" s="1"/>
  <c r="M37" i="8"/>
  <c r="AB33" i="8"/>
  <c r="AB34" i="8" s="1"/>
  <c r="AB36" i="8" s="1"/>
  <c r="W33" i="8"/>
  <c r="W34" i="8" s="1"/>
  <c r="W36" i="8" s="1"/>
  <c r="R33" i="8"/>
  <c r="R34" i="8" s="1"/>
  <c r="R36" i="8" s="1"/>
  <c r="M33" i="8"/>
  <c r="M34" i="8" s="1"/>
  <c r="M36" i="8" s="1"/>
  <c r="AB29" i="8"/>
  <c r="AB30" i="8" s="1"/>
  <c r="AB32" i="8" s="1"/>
  <c r="W29" i="8"/>
  <c r="W30" i="8" s="1"/>
  <c r="W32" i="8" s="1"/>
  <c r="R29" i="8"/>
  <c r="R30" i="8" s="1"/>
  <c r="R32" i="8" s="1"/>
  <c r="M32" i="8"/>
  <c r="W21" i="8"/>
  <c r="W22" i="8" s="1"/>
  <c r="R21" i="8"/>
  <c r="R22" i="8" s="1"/>
  <c r="R18" i="8"/>
  <c r="R19" i="8" s="1"/>
  <c r="X30" i="6"/>
  <c r="X31" i="6"/>
  <c r="X32" i="6"/>
  <c r="X33" i="6"/>
  <c r="X34" i="6"/>
  <c r="X36" i="6"/>
  <c r="X37" i="6"/>
  <c r="X38" i="6"/>
  <c r="X39" i="6"/>
  <c r="X40" i="6"/>
  <c r="X41" i="6"/>
  <c r="X42" i="6"/>
  <c r="X43" i="6"/>
  <c r="X45" i="6"/>
  <c r="X46" i="6"/>
  <c r="X47" i="6"/>
  <c r="X48" i="6"/>
  <c r="X49" i="6"/>
  <c r="X50" i="6"/>
  <c r="X51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D11" i="7"/>
  <c r="Q66" i="6"/>
  <c r="Q52" i="6"/>
  <c r="X52" i="6" s="1"/>
  <c r="Q44" i="6"/>
  <c r="X44" i="6" s="1"/>
  <c r="Q35" i="6"/>
  <c r="X35" i="6" s="1"/>
  <c r="AC174" i="3"/>
  <c r="Y174" i="3"/>
  <c r="Y176" i="3" s="1"/>
  <c r="U174" i="3"/>
  <c r="Q174" i="3"/>
  <c r="Q176" i="3" s="1"/>
  <c r="Q177" i="3" s="1"/>
  <c r="Q170" i="3"/>
  <c r="Q172" i="3" s="1"/>
  <c r="Q173" i="3" s="1"/>
  <c r="AC170" i="3"/>
  <c r="AC172" i="3" s="1"/>
  <c r="Y170" i="3"/>
  <c r="Y172" i="3" s="1"/>
  <c r="U170" i="3"/>
  <c r="AC166" i="3"/>
  <c r="AC168" i="3" s="1"/>
  <c r="AC169" i="3" s="1"/>
  <c r="Y166" i="3"/>
  <c r="U166" i="3"/>
  <c r="U168" i="3" s="1"/>
  <c r="W11" i="1"/>
  <c r="W12" i="1"/>
  <c r="W13" i="1"/>
  <c r="W14" i="1"/>
  <c r="W15" i="1"/>
  <c r="W16" i="1"/>
  <c r="Q11" i="1"/>
  <c r="U11" i="1" s="1"/>
  <c r="Q12" i="1"/>
  <c r="U12" i="1" s="1"/>
  <c r="Q13" i="1"/>
  <c r="U13" i="1" s="1"/>
  <c r="Q14" i="1"/>
  <c r="U14" i="1" s="1"/>
  <c r="Q15" i="1"/>
  <c r="U15" i="1" s="1"/>
  <c r="S110" i="3"/>
  <c r="S109" i="3"/>
  <c r="S108" i="3"/>
  <c r="S107" i="3"/>
  <c r="S106" i="3"/>
  <c r="S105" i="3"/>
  <c r="W85" i="3"/>
  <c r="N85" i="3"/>
  <c r="L54" i="3"/>
  <c r="AA50" i="3"/>
  <c r="U35" i="3"/>
  <c r="O35" i="3"/>
  <c r="L35" i="3"/>
  <c r="AA31" i="3"/>
  <c r="U31" i="3"/>
  <c r="R31" i="3"/>
  <c r="N67" i="3"/>
  <c r="Z67" i="3" s="1"/>
  <c r="W25" i="1"/>
  <c r="W27" i="1"/>
  <c r="AD35" i="3"/>
  <c r="AA35" i="3"/>
  <c r="W24" i="1"/>
  <c r="Y24" i="1"/>
  <c r="Y25" i="1"/>
  <c r="W26" i="1"/>
  <c r="Y26" i="1"/>
  <c r="Y27" i="1"/>
  <c r="W28" i="1"/>
  <c r="Y28" i="1"/>
  <c r="Y29" i="1"/>
  <c r="Y23" i="1"/>
  <c r="W10" i="1"/>
  <c r="M42" i="8" l="1"/>
  <c r="M44" i="8" s="1"/>
  <c r="R31" i="1"/>
  <c r="P24" i="8"/>
  <c r="P70" i="3"/>
  <c r="AG13" i="3"/>
  <c r="P60" i="3"/>
  <c r="P41" i="3"/>
  <c r="P23" i="3"/>
  <c r="AG12" i="3"/>
  <c r="P112" i="3"/>
  <c r="P74" i="6"/>
  <c r="P91" i="6" s="1"/>
  <c r="AB45" i="8"/>
  <c r="AB46" i="8" s="1"/>
  <c r="R18" i="1"/>
  <c r="U176" i="3"/>
  <c r="U177" i="3" s="1"/>
  <c r="Y177" i="3"/>
  <c r="AC176" i="3"/>
  <c r="AC177" i="3" s="1"/>
  <c r="U172" i="3"/>
  <c r="U173" i="3" s="1"/>
  <c r="Y173" i="3"/>
  <c r="Y168" i="3"/>
  <c r="Y169" i="3" s="1"/>
  <c r="U169" i="3"/>
  <c r="AC173" i="3"/>
  <c r="R45" i="8"/>
  <c r="R46" i="8" s="1"/>
  <c r="M38" i="8"/>
  <c r="M40" i="8" s="1"/>
  <c r="W45" i="8"/>
  <c r="W46" i="8" s="1"/>
  <c r="AG33" i="8"/>
  <c r="AG21" i="8"/>
  <c r="AG18" i="8"/>
  <c r="AG19" i="8"/>
  <c r="AG22" i="8"/>
  <c r="AG41" i="8"/>
  <c r="Z85" i="3"/>
  <c r="P88" i="3" s="1"/>
  <c r="AD57" i="3"/>
  <c r="AD58" i="3"/>
  <c r="AD54" i="3"/>
  <c r="AD53" i="3"/>
  <c r="AD50" i="3"/>
  <c r="AD49" i="3"/>
  <c r="AG38" i="3"/>
  <c r="AG16" i="3"/>
  <c r="AG21" i="3"/>
  <c r="AG20" i="3"/>
  <c r="AG17" i="3"/>
  <c r="AG35" i="3"/>
  <c r="AG39" i="3"/>
  <c r="AG34" i="3"/>
  <c r="AG30" i="3"/>
  <c r="AG31" i="3"/>
  <c r="R55" i="1" l="1"/>
  <c r="M45" i="8"/>
  <c r="M46" i="8" s="1"/>
  <c r="P48" i="8" s="1"/>
  <c r="P57" i="8" s="1"/>
  <c r="P179" i="3"/>
  <c r="P188" i="3" s="1"/>
  <c r="AG176" i="3"/>
  <c r="AG177" i="3"/>
  <c r="AG168" i="3"/>
  <c r="AG169" i="3"/>
  <c r="AG173" i="3"/>
  <c r="AG172" i="3"/>
  <c r="O28" i="4" l="1"/>
</calcChain>
</file>

<file path=xl/sharedStrings.xml><?xml version="1.0" encoding="utf-8"?>
<sst xmlns="http://schemas.openxmlformats.org/spreadsheetml/2006/main" count="871" uniqueCount="325">
  <si>
    <t>UPT</t>
  </si>
  <si>
    <t>ULTG</t>
  </si>
  <si>
    <t>1.1</t>
  </si>
  <si>
    <t>NO</t>
  </si>
  <si>
    <t>Setting Arus  (Ampere)</t>
  </si>
  <si>
    <t>Hasil Uji Pickup Arus (Ampere)</t>
  </si>
  <si>
    <t>Indikasi</t>
  </si>
  <si>
    <t>1.2</t>
  </si>
  <si>
    <t>Assessment</t>
  </si>
  <si>
    <t>Assessment Pengujian Arus Minimum Pickup</t>
  </si>
  <si>
    <t>PT PLN (Persero) Transmisi Jawa Bagian Tengah</t>
  </si>
  <si>
    <t>:</t>
  </si>
  <si>
    <t>Nilai Error (Persen)</t>
  </si>
  <si>
    <t>Assessment Pengujian Waktu Kerja Relai</t>
  </si>
  <si>
    <t>1.3</t>
  </si>
  <si>
    <t>Pengujian Gangguan Eksternal 1 Fasa</t>
  </si>
  <si>
    <t xml:space="preserve">Pengujian Beban Normal </t>
  </si>
  <si>
    <t>Pengujian Gangguan Internal 1 Fasa</t>
  </si>
  <si>
    <t>Item Pengujian</t>
  </si>
  <si>
    <t>Hasil Pengujian (Trip/No Trip)</t>
  </si>
  <si>
    <t xml:space="preserve">Pembacaan Nilai
Diff &amp; Rest </t>
  </si>
  <si>
    <t>Assessment Pengujian Stability Sekunder</t>
  </si>
  <si>
    <t>1.4</t>
  </si>
  <si>
    <t>Evaluasi dan Keterangan</t>
  </si>
  <si>
    <t>1.5</t>
  </si>
  <si>
    <t>Kesimpulan :</t>
  </si>
  <si>
    <t>Assessment Pengujian Fungsi LCD</t>
  </si>
  <si>
    <t>Pelaksana</t>
  </si>
  <si>
    <t>Supervisi</t>
  </si>
  <si>
    <t>Trip</t>
  </si>
  <si>
    <t>Zone 1</t>
  </si>
  <si>
    <t>Zone 2</t>
  </si>
  <si>
    <t>Z1</t>
  </si>
  <si>
    <t>Z2</t>
  </si>
  <si>
    <t>R-N</t>
  </si>
  <si>
    <t>S-N</t>
  </si>
  <si>
    <t>T-N</t>
  </si>
  <si>
    <t>R-S</t>
  </si>
  <si>
    <t>S-T</t>
  </si>
  <si>
    <t>T-R</t>
  </si>
  <si>
    <t>R-S-T</t>
  </si>
  <si>
    <t>% Error</t>
  </si>
  <si>
    <t>Z3</t>
  </si>
  <si>
    <t>Assessment Pengujian Individu Distance</t>
  </si>
  <si>
    <t>Setting</t>
  </si>
  <si>
    <r>
      <t>Z Setting (</t>
    </r>
    <r>
      <rPr>
        <sz val="11"/>
        <color theme="1"/>
        <rFont val="Aptos Narrow"/>
        <family val="2"/>
      </rPr>
      <t>Ω)</t>
    </r>
  </si>
  <si>
    <t>Z Hasil (Ω)</t>
  </si>
  <si>
    <t>Assessment Pengujian Impedance Distance pada Sudut 0° dan 90°</t>
  </si>
  <si>
    <t>Assessment Pengujian Fungsi Distance</t>
  </si>
  <si>
    <t>Jenis Gangguan</t>
  </si>
  <si>
    <t>Arus Pickup</t>
  </si>
  <si>
    <t>Hasil Uji</t>
  </si>
  <si>
    <t>Error</t>
  </si>
  <si>
    <t>Assessment Pengujian Aided DEF Main</t>
  </si>
  <si>
    <t>Parameter</t>
  </si>
  <si>
    <t>Kondisi Fungsi SOTF</t>
  </si>
  <si>
    <t>Pengujian</t>
  </si>
  <si>
    <t>Zone 2 (I = 1,2 x In)</t>
  </si>
  <si>
    <t>Zone Reverse (I = 1,2 x In)</t>
  </si>
  <si>
    <t>SOTF OFF</t>
  </si>
  <si>
    <t>SOTF ON</t>
  </si>
  <si>
    <t>Jenis Tegangan Hilang</t>
  </si>
  <si>
    <t>1 Fasa</t>
  </si>
  <si>
    <t>Fasa Tegangan Hilang</t>
  </si>
  <si>
    <t>R</t>
  </si>
  <si>
    <t>S</t>
  </si>
  <si>
    <t>T</t>
  </si>
  <si>
    <t>2 Fasa</t>
  </si>
  <si>
    <t>3 Fasa</t>
  </si>
  <si>
    <t>RST</t>
  </si>
  <si>
    <t>Block</t>
  </si>
  <si>
    <t>Hasil Pengujian</t>
  </si>
  <si>
    <t>Assessment Pengujian VT Fail</t>
  </si>
  <si>
    <t>GI/GITET Lokal ….....................................</t>
  </si>
  <si>
    <t>Zone 1 / R-N</t>
  </si>
  <si>
    <t>Zone 1 / S-N</t>
  </si>
  <si>
    <t>Zone 1 / T-N</t>
  </si>
  <si>
    <t>Zone 2 / R-N</t>
  </si>
  <si>
    <t>GI/GITET Remote ….....................................</t>
  </si>
  <si>
    <t>Zone 1 / S-T</t>
  </si>
  <si>
    <t>Zone 2 / S-T</t>
  </si>
  <si>
    <t>Zone 1 / RST</t>
  </si>
  <si>
    <t>Zone 2 / RST</t>
  </si>
  <si>
    <t>Reverse / S-T</t>
  </si>
  <si>
    <t>Reverse / R-N</t>
  </si>
  <si>
    <t>Assessment Pengujian Teleproteksi PUTT</t>
  </si>
  <si>
    <t>Zone 2 / S-N</t>
  </si>
  <si>
    <t>Zone 2 / T-N</t>
  </si>
  <si>
    <t>Zone 1 / R-S</t>
  </si>
  <si>
    <t>Zone 1 / T-R</t>
  </si>
  <si>
    <t>Zone 2 / R-S</t>
  </si>
  <si>
    <t>Zone 2 / T-R</t>
  </si>
  <si>
    <t>Assessment Pengujian Teleproteksi POTT</t>
  </si>
  <si>
    <t>Kondisi Fungsi Current Reversal</t>
  </si>
  <si>
    <t>Assessment Pengujian Current Reversal</t>
  </si>
  <si>
    <t>Non Aktif</t>
  </si>
  <si>
    <t>Aktif</t>
  </si>
  <si>
    <t>DEF Reverse --&gt; DEF Forward + Receive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</si>
  <si>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</si>
  <si>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</si>
  <si>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</si>
  <si>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</si>
  <si>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</si>
  <si>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</si>
  <si>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</si>
  <si>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</si>
  <si>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</si>
  <si>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</si>
  <si>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</si>
  <si>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Kondisi Fungsi PSB</t>
  </si>
  <si>
    <t>Hasil Pengujian (Trip / No Trip)</t>
  </si>
  <si>
    <t>2.12</t>
  </si>
  <si>
    <t>Jenis Pengujian</t>
  </si>
  <si>
    <t>Fasa R-S</t>
  </si>
  <si>
    <t xml:space="preserve">Assessment Pengujian PSB </t>
  </si>
  <si>
    <t>Assessment Pengujian FL</t>
  </si>
  <si>
    <t>2.13</t>
  </si>
  <si>
    <t>2.14</t>
  </si>
  <si>
    <t>Teleproteksi (Send/Recv)</t>
  </si>
  <si>
    <t>Arus Pickup (Ampere)</t>
  </si>
  <si>
    <t>Nilai Estimasi</t>
  </si>
  <si>
    <t>Error (%)</t>
  </si>
  <si>
    <t>Pengujian Arus Minimum Pickup</t>
  </si>
  <si>
    <t>Pengujian  Waktu Kerja Relai</t>
  </si>
  <si>
    <t>Pengujian Stability Sekunder</t>
  </si>
  <si>
    <t>Pengujian Impedance Distance pada Sudut Line</t>
  </si>
  <si>
    <t>Pengujian Waktu Kerja Distance pada Sudut Line</t>
  </si>
  <si>
    <r>
      <t>Pengujian Impedance Distance pada 0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dan 90°</t>
    </r>
  </si>
  <si>
    <t>Pengujian Current Reversal</t>
  </si>
  <si>
    <t>Pengujian VT Fail</t>
  </si>
  <si>
    <t>Pengujian Pola Teleproteksi PUTT</t>
  </si>
  <si>
    <t>Pengujian Pola Teleproteksi POTT</t>
  </si>
  <si>
    <t>Pengujian PSB</t>
  </si>
  <si>
    <t>Status LCD</t>
  </si>
  <si>
    <t>Com OK</t>
  </si>
  <si>
    <t>Com Fail</t>
  </si>
  <si>
    <t>Kinerja Acuan</t>
  </si>
  <si>
    <t>LCD Op</t>
  </si>
  <si>
    <t>Zone 1 Op</t>
  </si>
  <si>
    <t>Zone 2 Op</t>
  </si>
  <si>
    <t>Zone 3 Op</t>
  </si>
  <si>
    <t>Zone 3</t>
  </si>
  <si>
    <t>Pengujian Fungsi LCD Terhadap Fungsi Distance &amp; DEF Main</t>
  </si>
  <si>
    <t>Status AR</t>
  </si>
  <si>
    <t>LCD</t>
  </si>
  <si>
    <t>Pengujian Distance / DEF Main</t>
  </si>
  <si>
    <t>Pengujian Fasa</t>
  </si>
  <si>
    <t>ON</t>
  </si>
  <si>
    <t>2Ph</t>
  </si>
  <si>
    <t>3Ph</t>
  </si>
  <si>
    <t>OFF</t>
  </si>
  <si>
    <t xml:space="preserve">LCD </t>
  </si>
  <si>
    <t xml:space="preserve">DEF BackUp </t>
  </si>
  <si>
    <t>PSB</t>
  </si>
  <si>
    <t>CURRENT REVERSAL</t>
  </si>
  <si>
    <t>VT FAILURE</t>
  </si>
  <si>
    <t>Mode Autoreclose (SPAR / TPAR / STPAR)</t>
  </si>
  <si>
    <t>1Ph</t>
  </si>
  <si>
    <t>1 Ph</t>
  </si>
  <si>
    <t xml:space="preserve">LAPORAN TEKNIK PEMELIHARAAN RUTIN </t>
  </si>
  <si>
    <t>SISTEM PROTEKSI BAY PENGHANTAR</t>
  </si>
  <si>
    <t>PT PLN (PERSERO) UNIT INDUK TRANSMISI</t>
  </si>
  <si>
    <t>JAWA BAGIAN TENGAH</t>
  </si>
  <si>
    <t xml:space="preserve">ULTG </t>
  </si>
  <si>
    <t>GI / GITET</t>
  </si>
  <si>
    <t>BAY</t>
  </si>
  <si>
    <t>Merk Relai</t>
  </si>
  <si>
    <t>Tipe Relai</t>
  </si>
  <si>
    <t>No Serie</t>
  </si>
  <si>
    <t>Tahun Operasi</t>
  </si>
  <si>
    <t>Alat Uji</t>
  </si>
  <si>
    <t>Rasio CT</t>
  </si>
  <si>
    <t>Rasio PT</t>
  </si>
  <si>
    <t>TANGGAL</t>
  </si>
  <si>
    <t>Fungsi Proteksi</t>
  </si>
  <si>
    <t>Spesifikasi Relai Proteksi Utama</t>
  </si>
  <si>
    <t>Spesifikasi Relai Proteksi Backup</t>
  </si>
  <si>
    <t>Hasil Assessment Proteksi</t>
  </si>
  <si>
    <t>KESIMPULAN HASIL PEMELIHARAAN RUTIN SISTEM PROTEKSI</t>
  </si>
  <si>
    <t>PT PLN (Persero) Unit Induk Transmisi Jawa Bagian Tengah</t>
  </si>
  <si>
    <t>Sub Bidang Pemeliharaan Proteksi &amp; meter</t>
  </si>
  <si>
    <t>Tahun 2024</t>
  </si>
  <si>
    <t>Indikasi Relai, Annunciator &amp; Lockout</t>
  </si>
  <si>
    <t>LCD/Zone 1
CB AB OPEN
CB Busbar CLOSE</t>
  </si>
  <si>
    <t>LCD/Zone 1
CB AB CLOSE
CB Busbar OPEN</t>
  </si>
  <si>
    <t>LCD/Zone 1
CB AB CLOSE
CB Busbar CLOSE</t>
  </si>
  <si>
    <t xml:space="preserve"> Ph R kemudian inject kembali Ph R pada masa RECLAIM time AR</t>
  </si>
  <si>
    <t xml:space="preserve"> Ph S kemudian inject kembali Ph T pada masa DEAD time AR</t>
  </si>
  <si>
    <t>Any Phase</t>
  </si>
  <si>
    <t>Zone 2 + Receive dengan waktu injek di bawah setting T Reversal</t>
  </si>
  <si>
    <t>DEF + Receive dengan waktu injek di atas setting T Reversal</t>
  </si>
  <si>
    <t>LCD/Z1 + CB not Healthy</t>
  </si>
  <si>
    <t>3 Ph</t>
  </si>
  <si>
    <t>4.1</t>
  </si>
  <si>
    <t>4.2</t>
  </si>
  <si>
    <t>4.4</t>
  </si>
  <si>
    <t>SPAR</t>
  </si>
  <si>
    <t>STPAR</t>
  </si>
  <si>
    <t>Trip 3 Fasa</t>
  </si>
  <si>
    <t>Trip 1 Fasa R &amp; Reclose</t>
  </si>
  <si>
    <t>Trip 1 Fasa S &amp; Reclose</t>
  </si>
  <si>
    <t>Trip 1 Fasa T &amp; Reclose</t>
  </si>
  <si>
    <t>Trip &amp; Reclose CB AB
CB Busbar Open</t>
  </si>
  <si>
    <t>Trip &amp; Reclose CB Busbar
CB AB Open</t>
  </si>
  <si>
    <t>Trip &amp; Reclose CB Busbar &amp; AB</t>
  </si>
  <si>
    <t>Trip 1 Fasa R &amp; Disusul Trip Fasa ST</t>
  </si>
  <si>
    <t>Tidak Trip</t>
  </si>
  <si>
    <t>Trip 3 Fasa &amp; Reclose</t>
  </si>
  <si>
    <t>4.3</t>
  </si>
  <si>
    <t>Setting OCR dan GFR yang Diterapkan</t>
  </si>
  <si>
    <t>Setting Arus Pickup OCR</t>
  </si>
  <si>
    <t>Setting TMS OCR</t>
  </si>
  <si>
    <t>Setting Arus Pickup GFR</t>
  </si>
  <si>
    <t>Setting TMS GFR</t>
  </si>
  <si>
    <t>A</t>
  </si>
  <si>
    <t>Pickup</t>
  </si>
  <si>
    <t>Dropoff</t>
  </si>
  <si>
    <t>Hasil Uji (A)</t>
  </si>
  <si>
    <t>% Rasio DO/PU</t>
  </si>
  <si>
    <t>GFR</t>
  </si>
  <si>
    <t>OCR R</t>
  </si>
  <si>
    <t>OCR S</t>
  </si>
  <si>
    <t>OCR T</t>
  </si>
  <si>
    <t>Assessment Pengujian Pickup dan Dropoff</t>
  </si>
  <si>
    <t>Pengujian Pickup dan Dropoff OCR/GFR</t>
  </si>
  <si>
    <t>Pengujian Karakteristik Waktu Kerja OCR/GFR</t>
  </si>
  <si>
    <t>1.5 x Iset</t>
  </si>
  <si>
    <t>2.0 x Iset</t>
  </si>
  <si>
    <t>3.0 x Iset</t>
  </si>
  <si>
    <t>Arus Injeksi (A)</t>
  </si>
  <si>
    <t>Hasil Kalkulasi (s)</t>
  </si>
  <si>
    <t>Hasil Uji (s)</t>
  </si>
  <si>
    <t>Poin Pengujian</t>
  </si>
  <si>
    <t>OCR Fasa R</t>
  </si>
  <si>
    <t>OCR Fasa S</t>
  </si>
  <si>
    <t>OCR Fasa T</t>
  </si>
  <si>
    <t>Kalkulasi Error Terbesar</t>
  </si>
  <si>
    <t>Hasil Asesmen</t>
  </si>
  <si>
    <t>Assessment Pengujian Karakteristik Waktu Kerja</t>
  </si>
  <si>
    <t>Assessment Pengujian Individu OCR/GFR</t>
  </si>
  <si>
    <t>Assessment Pengujian Fungsi Keseluruhan</t>
  </si>
  <si>
    <t>Pengujian Fungsi Main Proteksi</t>
  </si>
  <si>
    <t>Pengujian Fungsi  Backup Proteksi</t>
  </si>
  <si>
    <t>OCR</t>
  </si>
  <si>
    <t>Trip 3 Fasa, Lockout</t>
  </si>
  <si>
    <t>Assessment Pengujian Fungsi Main Proteksi</t>
  </si>
  <si>
    <t>Assessment Pengujian Fungsi Backup Proteksi</t>
  </si>
  <si>
    <t>Pengujian Fault Locator (FL) di Sudut Line</t>
  </si>
  <si>
    <t>25% Z Line (km)</t>
  </si>
  <si>
    <t>50% Z Line (km)</t>
  </si>
  <si>
    <t>75% Z Line (km)</t>
  </si>
  <si>
    <t>100% Z Line (km)</t>
  </si>
  <si>
    <t>-</t>
  </si>
  <si>
    <t>Trip 1 Fasa</t>
  </si>
  <si>
    <t>No Trip</t>
  </si>
  <si>
    <t>3.1</t>
  </si>
  <si>
    <t>3.2</t>
  </si>
  <si>
    <t>3.3</t>
  </si>
  <si>
    <t>3.4</t>
  </si>
  <si>
    <t>Fasa</t>
  </si>
  <si>
    <t>Setting Waktu (s)</t>
  </si>
  <si>
    <t>Hasil Pengujian Waktu  Kerja (s)</t>
  </si>
  <si>
    <t>Setting (s)</t>
  </si>
  <si>
    <t>Hasil (s)</t>
  </si>
  <si>
    <t>Waktu Kerja (s)</t>
  </si>
  <si>
    <t>Pengujian DEF Backup</t>
  </si>
  <si>
    <t>Assessment Pengujian DEF Backup</t>
  </si>
  <si>
    <t>Pengujian Fungsi SOTF/TOR</t>
  </si>
  <si>
    <t>Assessment Pengujian Fungsi SOTF/TOR</t>
  </si>
  <si>
    <t>Fasa S-T</t>
  </si>
  <si>
    <t>Fasa T-R</t>
  </si>
  <si>
    <t xml:space="preserve">    R : </t>
  </si>
  <si>
    <t xml:space="preserve">    S : </t>
  </si>
  <si>
    <t>Arus Lokal GI / GITET                           .</t>
  </si>
  <si>
    <t>Arus Remote GI / GITET                           .</t>
  </si>
  <si>
    <t xml:space="preserve">    T : </t>
  </si>
  <si>
    <t>Idiff :                    &amp; Irest :                 .</t>
  </si>
  <si>
    <t>*) Jika tidak trip, maka isi waktu kerja dengan " - "</t>
  </si>
  <si>
    <r>
      <t>Panjang
PHT (km</t>
    </r>
    <r>
      <rPr>
        <b/>
        <sz val="11"/>
        <color theme="0"/>
        <rFont val="Aptos Narrow"/>
        <family val="2"/>
      </rPr>
      <t>)</t>
    </r>
  </si>
  <si>
    <t>Zone 3 *)</t>
  </si>
  <si>
    <t>*)</t>
  </si>
  <si>
    <t>Arus uji harus di atas setting I Diff</t>
  </si>
  <si>
    <t>Zone 2 Aided Op</t>
  </si>
  <si>
    <t>Zone 2 Aided</t>
  </si>
  <si>
    <t>Pengujian Aided DEF Aided</t>
  </si>
  <si>
    <t>DEF Aided</t>
  </si>
  <si>
    <t>DEF Aided Op</t>
  </si>
  <si>
    <t>Zone Aided</t>
  </si>
  <si>
    <t>N</t>
  </si>
  <si>
    <t>OFF (BY DESIGN)</t>
  </si>
  <si>
    <t>Sudut 0° atau Nilai R</t>
  </si>
  <si>
    <t>Sudut 90° atau Nilai X</t>
  </si>
  <si>
    <t>BEKASI</t>
  </si>
  <si>
    <t>OMICRON CMC 356</t>
  </si>
  <si>
    <t>v</t>
  </si>
  <si>
    <t>DIFF TRIP</t>
  </si>
  <si>
    <t>Z1 TRIP</t>
  </si>
  <si>
    <t>Z2 TRIP</t>
  </si>
  <si>
    <t>Z3 TRIP</t>
  </si>
  <si>
    <t>0</t>
  </si>
  <si>
    <t>2.5 x Iset</t>
  </si>
  <si>
    <t>EDWAR DENDY V</t>
  </si>
  <si>
    <t>EDWAR DENDY</t>
  </si>
  <si>
    <t>(ERVAN JAGI M.W)</t>
  </si>
  <si>
    <t>VTS.Alm</t>
  </si>
  <si>
    <t xml:space="preserve">PENGUJIAN PICK UP DALAM KEADAAN COMM OK
</t>
  </si>
  <si>
    <t>GENTRIP, LINE DIFF TRIP, PICKUP R</t>
  </si>
  <si>
    <t>GENTRIP, LINE DIFF TRIP, PICKUP S</t>
  </si>
  <si>
    <t>GENTRIP, LINE DIFF TRIP, PICKUP T</t>
  </si>
  <si>
    <t>GENTRIP, LINE DIFF TRIP, R S</t>
  </si>
  <si>
    <t>GENTRIP, LINE DIFF TRIP, S T</t>
  </si>
  <si>
    <t>GENTRIP, LINE DIFF TRIP, R T</t>
  </si>
  <si>
    <t>GENTRIP, LINE DIFF TRIP, R S T</t>
  </si>
  <si>
    <t>150 kV RAJAPAKSI</t>
  </si>
  <si>
    <t>ALSTOM</t>
  </si>
  <si>
    <t>RIKI H</t>
  </si>
  <si>
    <t>OC PHASA RST, TRIP</t>
  </si>
  <si>
    <t>GFR TRIP, TRIP</t>
  </si>
  <si>
    <t>UJI FUNGSI SESUAI</t>
  </si>
  <si>
    <t>RELAY KONDISI BAIK</t>
  </si>
  <si>
    <t>KOPEL</t>
  </si>
  <si>
    <t>23 JULI 2026</t>
  </si>
  <si>
    <t>MICOM P143</t>
  </si>
  <si>
    <t>33338342/06/15</t>
  </si>
  <si>
    <t>4000/1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</si>
</sst>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5" borderId="17" xfId="0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left" vertical="center"/>
    </xf>
    <xf numFmtId="15" fontId="0" fillId="2" borderId="17" xfId="0" quotePrefix="1" applyNumberForma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/>
    </xf>
    <xf numFmtId="0" fontId="0" fillId="2" borderId="17" xfId="0" applyFill="1" applyBorder="1" applyAlignment="1" applyProtection="1">
      <alignment horizontal="left" vertical="top" wrapText="1"/>
      <protection locked="0"/>
    </xf>
    <xf numFmtId="0" fontId="0" fillId="2" borderId="17" xfId="0" applyFill="1" applyBorder="1" applyAlignment="1" applyProtection="1">
      <alignment horizontal="left" vertical="top"/>
      <protection locked="0"/>
    </xf>
    <xf numFmtId="0" fontId="0" fillId="11" borderId="20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 wrapText="1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26" xfId="0" applyFill="1" applyBorder="1" applyAlignment="1" applyProtection="1">
      <alignment horizontal="center" vertical="center" wrapText="1"/>
      <protection locked="0"/>
    </xf>
    <xf numFmtId="0" fontId="0" fillId="2" borderId="22" xfId="0" applyFill="1" applyBorder="1" applyAlignment="1" applyProtection="1">
      <alignment horizontal="center" vertical="center" wrapText="1"/>
      <protection locked="0"/>
    </xf>
    <xf numFmtId="0" fontId="0" fillId="2" borderId="19" xfId="0" applyFill="1" applyBorder="1" applyAlignment="1" applyProtection="1">
      <alignment horizontal="center" vertical="center" wrapText="1"/>
      <protection locked="0"/>
    </xf>
    <xf numFmtId="0" fontId="0" fillId="2" borderId="33" xfId="0" applyFill="1" applyBorder="1" applyAlignment="1" applyProtection="1">
      <alignment horizontal="center" vertical="center" wrapText="1"/>
      <protection locked="0"/>
    </xf>
    <xf numFmtId="0" fontId="0" fillId="2" borderId="40" xfId="0" applyFill="1" applyBorder="1" applyAlignment="1" applyProtection="1">
      <alignment horizontal="center" vertical="center" wrapText="1"/>
      <protection locked="0"/>
    </xf>
    <xf numFmtId="0" fontId="0" fillId="2" borderId="41" xfId="0" applyFill="1" applyBorder="1" applyAlignment="1" applyProtection="1">
      <alignment horizontal="center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26" xfId="0" applyFill="1" applyBorder="1" applyAlignment="1" applyProtection="1">
      <alignment horizontal="left" vertical="center" wrapText="1"/>
      <protection locked="0"/>
    </xf>
    <xf numFmtId="9" fontId="1" fillId="6" borderId="17" xfId="1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20" fontId="0" fillId="2" borderId="17" xfId="0" quotePrefix="1" applyNumberFormat="1" applyFill="1" applyBorder="1" applyAlignment="1" applyProtection="1">
      <alignment horizontal="center" vertical="center" wrapText="1"/>
      <protection locked="0"/>
    </xf>
    <xf numFmtId="9" fontId="1" fillId="6" borderId="17" xfId="1" applyFont="1" applyFill="1" applyBorder="1" applyAlignment="1" applyProtection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9" fontId="1" fillId="6" borderId="19" xfId="1" applyFont="1" applyFill="1" applyBorder="1" applyAlignment="1" applyProtection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10" borderId="31" xfId="0" applyFont="1" applyFill="1" applyBorder="1" applyAlignment="1">
      <alignment horizontal="center" vertical="center" wrapText="1"/>
    </xf>
    <xf numFmtId="0" fontId="8" fillId="8" borderId="34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9" fontId="0" fillId="6" borderId="17" xfId="1" applyFont="1" applyFill="1" applyBorder="1" applyAlignment="1">
      <alignment horizontal="center" vertical="center"/>
    </xf>
    <xf numFmtId="9" fontId="0" fillId="6" borderId="24" xfId="1" applyFont="1" applyFill="1" applyBorder="1" applyAlignment="1">
      <alignment horizontal="center" vertical="center"/>
    </xf>
    <xf numFmtId="0" fontId="0" fillId="2" borderId="24" xfId="0" applyFill="1" applyBorder="1" applyAlignment="1" applyProtection="1">
      <alignment horizontal="center" vertical="center"/>
      <protection locked="0"/>
    </xf>
    <xf numFmtId="0" fontId="0" fillId="6" borderId="26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2" borderId="26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27" xfId="0" applyFill="1" applyBorder="1" applyAlignment="1" applyProtection="1">
      <alignment horizontal="center" vertical="center"/>
      <protection locked="0"/>
    </xf>
    <xf numFmtId="0" fontId="0" fillId="2" borderId="44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8" fillId="10" borderId="4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 wrapText="1"/>
    </xf>
    <xf numFmtId="0" fontId="8" fillId="10" borderId="31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9" fontId="0" fillId="6" borderId="26" xfId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9" fontId="0" fillId="6" borderId="21" xfId="1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2" borderId="31" xfId="0" applyFill="1" applyBorder="1" applyAlignment="1" applyProtection="1">
      <alignment horizontal="center" vertical="center" wrapText="1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9" fontId="0" fillId="6" borderId="17" xfId="1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 wrapText="1"/>
    </xf>
    <xf numFmtId="9" fontId="0" fillId="6" borderId="24" xfId="1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0" fillId="2" borderId="24" xfId="0" applyFill="1" applyBorder="1" applyAlignment="1" applyProtection="1">
      <alignment horizontal="center" vertical="center" wrapText="1"/>
      <protection locked="0"/>
    </xf>
    <xf numFmtId="0" fontId="0" fillId="2" borderId="44" xfId="0" applyFill="1" applyBorder="1" applyAlignment="1" applyProtection="1">
      <alignment horizontal="center" vertical="center" wrapText="1"/>
      <protection locked="0"/>
    </xf>
    <xf numFmtId="0" fontId="0" fillId="2" borderId="52" xfId="0" applyFill="1" applyBorder="1" applyAlignment="1" applyProtection="1">
      <alignment horizontal="center" vertical="center" wrapText="1"/>
      <protection locked="0"/>
    </xf>
    <xf numFmtId="0" fontId="0" fillId="2" borderId="53" xfId="0" applyFill="1" applyBorder="1" applyAlignment="1" applyProtection="1">
      <alignment horizontal="center" vertical="center" wrapText="1"/>
      <protection locked="0"/>
    </xf>
    <xf numFmtId="0" fontId="0" fillId="7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2" borderId="26" xfId="0" applyFill="1" applyBorder="1" applyAlignment="1" applyProtection="1">
      <alignment horizontal="left" vertical="center"/>
      <protection locked="0"/>
    </xf>
    <xf numFmtId="0" fontId="0" fillId="2" borderId="27" xfId="0" applyFill="1" applyBorder="1" applyAlignment="1" applyProtection="1">
      <alignment horizontal="left" vertical="center"/>
      <protection locked="0"/>
    </xf>
    <xf numFmtId="0" fontId="8" fillId="8" borderId="28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2" fontId="0" fillId="2" borderId="50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36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37" xfId="1" applyNumberFormat="1" applyFont="1" applyFill="1" applyBorder="1" applyAlignment="1" applyProtection="1">
      <alignment horizontal="center" vertical="center" wrapText="1"/>
      <protection locked="0"/>
    </xf>
    <xf numFmtId="0" fontId="0" fillId="6" borderId="26" xfId="1" applyNumberFormat="1" applyFont="1" applyFill="1" applyBorder="1" applyAlignment="1">
      <alignment horizontal="center" vertical="center" wrapText="1"/>
    </xf>
    <xf numFmtId="2" fontId="0" fillId="2" borderId="48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38" xfId="1" applyNumberFormat="1" applyFont="1" applyFill="1" applyBorder="1" applyAlignment="1" applyProtection="1">
      <alignment horizontal="center" vertical="center" wrapText="1"/>
      <protection locked="0"/>
    </xf>
    <xf numFmtId="0" fontId="0" fillId="6" borderId="17" xfId="1" applyNumberFormat="1" applyFont="1" applyFill="1" applyBorder="1" applyAlignment="1">
      <alignment horizontal="center" vertical="center" wrapText="1"/>
    </xf>
    <xf numFmtId="0" fontId="0" fillId="6" borderId="24" xfId="1" applyNumberFormat="1" applyFont="1" applyFill="1" applyBorder="1" applyAlignment="1">
      <alignment horizontal="center" vertical="center" wrapText="1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2" fontId="0" fillId="2" borderId="42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51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43" xfId="1" applyNumberFormat="1" applyFont="1" applyFill="1" applyBorder="1" applyAlignment="1" applyProtection="1">
      <alignment horizontal="center" vertical="center" wrapText="1"/>
      <protection locked="0"/>
    </xf>
    <xf numFmtId="0" fontId="0" fillId="11" borderId="44" xfId="0" applyFill="1" applyBorder="1" applyAlignment="1">
      <alignment horizontal="center" vertical="center" wrapText="1"/>
    </xf>
    <xf numFmtId="2" fontId="0" fillId="6" borderId="21" xfId="1" applyNumberFormat="1" applyFont="1" applyFill="1" applyBorder="1" applyAlignment="1">
      <alignment horizontal="center" vertical="center" wrapText="1"/>
    </xf>
    <xf numFmtId="2" fontId="0" fillId="2" borderId="54" xfId="1" applyNumberFormat="1" applyFont="1" applyFill="1" applyBorder="1" applyAlignment="1" applyProtection="1">
      <alignment horizontal="center" vertical="center" wrapText="1"/>
      <protection locked="0"/>
    </xf>
    <xf numFmtId="0" fontId="0" fillId="11" borderId="45" xfId="0" applyFill="1" applyBorder="1" applyAlignment="1">
      <alignment horizontal="center" vertical="center" wrapText="1"/>
    </xf>
    <xf numFmtId="9" fontId="0" fillId="6" borderId="26" xfId="1" applyFont="1" applyFill="1" applyBorder="1" applyAlignment="1">
      <alignment horizontal="center" vertical="center" wrapText="1"/>
    </xf>
    <xf numFmtId="9" fontId="0" fillId="6" borderId="27" xfId="1" applyFont="1" applyFill="1" applyBorder="1" applyAlignment="1">
      <alignment horizontal="center" vertical="center" wrapText="1"/>
    </xf>
    <xf numFmtId="0" fontId="0" fillId="11" borderId="42" xfId="0" applyFill="1" applyBorder="1" applyAlignment="1">
      <alignment horizontal="center" vertical="center" wrapText="1"/>
    </xf>
    <xf numFmtId="2" fontId="0" fillId="6" borderId="17" xfId="1" applyNumberFormat="1" applyFont="1" applyFill="1" applyBorder="1" applyAlignment="1">
      <alignment horizontal="center" vertical="center" wrapText="1"/>
    </xf>
    <xf numFmtId="2" fontId="0" fillId="2" borderId="39" xfId="1" applyNumberFormat="1" applyFont="1" applyFill="1" applyBorder="1" applyAlignment="1" applyProtection="1">
      <alignment horizontal="center" vertical="center" wrapText="1"/>
      <protection locked="0"/>
    </xf>
    <xf numFmtId="2" fontId="0" fillId="6" borderId="22" xfId="1" applyNumberFormat="1" applyFont="1" applyFill="1" applyBorder="1" applyAlignment="1">
      <alignment horizontal="center" vertical="center" wrapText="1"/>
    </xf>
    <xf numFmtId="2" fontId="0" fillId="6" borderId="24" xfId="1" applyNumberFormat="1" applyFont="1" applyFill="1" applyBorder="1" applyAlignment="1">
      <alignment horizontal="center" vertical="center" wrapText="1"/>
    </xf>
    <xf numFmtId="0" fontId="0" fillId="11" borderId="45" xfId="0" applyFill="1" applyBorder="1" applyAlignment="1">
      <alignment horizontal="center" vertical="center"/>
    </xf>
    <xf numFmtId="0" fontId="0" fillId="6" borderId="27" xfId="1" applyNumberFormat="1" applyFont="1" applyFill="1" applyBorder="1" applyAlignment="1">
      <alignment horizontal="center" vertical="center" wrapText="1"/>
    </xf>
    <xf numFmtId="9" fontId="0" fillId="6" borderId="21" xfId="1" applyFont="1" applyFill="1" applyBorder="1" applyAlignment="1">
      <alignment horizontal="center" vertical="center" wrapText="1"/>
    </xf>
    <xf numFmtId="9" fontId="0" fillId="6" borderId="22" xfId="1" applyFont="1" applyFill="1" applyBorder="1" applyAlignment="1">
      <alignment horizontal="center" vertical="center" wrapText="1"/>
    </xf>
    <xf numFmtId="0" fontId="0" fillId="11" borderId="44" xfId="0" applyFill="1" applyBorder="1" applyAlignment="1">
      <alignment horizontal="center" vertical="center"/>
    </xf>
    <xf numFmtId="0" fontId="0" fillId="2" borderId="42" xfId="0" applyFill="1" applyBorder="1" applyAlignment="1" applyProtection="1">
      <alignment horizontal="center" vertical="center" wrapText="1"/>
      <protection locked="0"/>
    </xf>
    <xf numFmtId="0" fontId="0" fillId="2" borderId="51" xfId="0" applyFill="1" applyBorder="1" applyAlignment="1" applyProtection="1">
      <alignment horizontal="center" vertical="center" wrapText="1"/>
      <protection locked="0"/>
    </xf>
    <xf numFmtId="0" fontId="0" fillId="2" borderId="43" xfId="0" applyFill="1" applyBorder="1" applyAlignment="1" applyProtection="1">
      <alignment horizontal="center" vertical="center" wrapText="1"/>
      <protection locked="0"/>
    </xf>
    <xf numFmtId="0" fontId="8" fillId="3" borderId="18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0" fillId="11" borderId="42" xfId="0" applyFill="1" applyBorder="1" applyAlignment="1">
      <alignment horizontal="center" vertical="center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8" fillId="8" borderId="18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/>
    </xf>
    <xf numFmtId="0" fontId="0" fillId="2" borderId="17" xfId="0" quotePrefix="1" applyFill="1" applyBorder="1" applyAlignment="1" applyProtection="1">
      <alignment horizontal="center" vertical="center" wrapText="1"/>
      <protection locked="0"/>
    </xf>
    <xf numFmtId="0" fontId="8" fillId="3" borderId="42" xfId="0" applyFont="1" applyFill="1" applyBorder="1" applyAlignment="1">
      <alignment horizontal="center" vertical="center"/>
    </xf>
    <xf numFmtId="0" fontId="8" fillId="8" borderId="49" xfId="0" applyFont="1" applyFill="1" applyBorder="1" applyAlignment="1">
      <alignment horizontal="center" vertical="center" wrapText="1"/>
    </xf>
    <xf numFmtId="0" fontId="8" fillId="10" borderId="51" xfId="0" applyFont="1" applyFill="1" applyBorder="1" applyAlignment="1">
      <alignment horizontal="center" vertical="center"/>
    </xf>
    <xf numFmtId="0" fontId="8" fillId="10" borderId="4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273516</xdr:colOff>
      <xdr:row>31</xdr:row>
      <xdr:rowOff>106681</xdr:rowOff>
    </xdr:from>
    <xdr:to>
      <xdr:col>21</xdr:col>
      <xdr:colOff>266444</xdr:colOff>
      <xdr:row>32</xdr:row>
      <xdr:rowOff>142931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702766" y="7034531"/>
          <a:ext cx="564428" cy="2458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19</xdr:col>
      <xdr:colOff>59977</xdr:colOff>
      <xdr:row>30</xdr:row>
      <xdr:rowOff>100794</xdr:rowOff>
    </xdr:from>
    <xdr:to>
      <xdr:col>24</xdr:col>
      <xdr:colOff>176002</xdr:colOff>
      <xdr:row>35</xdr:row>
      <xdr:rowOff>10018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2199" y="6894286"/>
          <a:ext cx="1527136" cy="9675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85725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504825"/>
          <a:ext cx="37719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205653</xdr:colOff>
      <xdr:row>56</xdr:row>
      <xdr:rowOff>21648</xdr:rowOff>
    </xdr:from>
    <xdr:to>
      <xdr:col>27</xdr:col>
      <xdr:colOff>163201</xdr:colOff>
      <xdr:row>61</xdr:row>
      <xdr:rowOff>53849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FD453E-AB0F-4734-BF0D-F9D20281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051" y="12317557"/>
          <a:ext cx="1451241" cy="10604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194736</xdr:colOff>
      <xdr:row>58</xdr:row>
      <xdr:rowOff>25401</xdr:rowOff>
    </xdr:from>
    <xdr:to>
      <xdr:col>27</xdr:col>
      <xdr:colOff>166800</xdr:colOff>
      <xdr:row>63</xdr:row>
      <xdr:rowOff>21310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3136" y="12700001"/>
          <a:ext cx="1686564" cy="10436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43"/>
  <sheetViews>
    <sheetView view="pageBreakPreview" topLeftCell="A10" zoomScale="76" zoomScaleNormal="85" zoomScaleSheetLayoutView="100" workbookViewId="0">
      <selection activeCell="I24" sqref="I24:N24"/>
    </sheetView>
  </sheetViews>
  <sheetFormatPr defaultColWidth="8.81640625" defaultRowHeight="14.5" x14ac:dyDescent="0.35"/>
  <cols>
    <col min="1" max="42" width="3.7265625" style="1" customWidth="1"/>
    <col min="43" max="16384" width="8.81640625" style="1"/>
  </cols>
  <sheetData>
    <row r="1" spans="2:30" ht="16.899999999999999" customHeight="1" thickBot="1" x14ac:dyDescent="0.4"/>
    <row r="2" spans="2:30" ht="16.899999999999999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1"/>
    </row>
    <row r="3" spans="2:30" ht="16.899999999999999" customHeight="1" x14ac:dyDescent="0.35">
      <c r="B3" s="22"/>
      <c r="AD3" s="23"/>
    </row>
    <row r="4" spans="2:30" ht="25.15" customHeight="1" x14ac:dyDescent="0.35">
      <c r="B4" s="22"/>
      <c r="C4" s="57" t="s">
        <v>159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23"/>
    </row>
    <row r="5" spans="2:30" ht="25.15" customHeight="1" x14ac:dyDescent="0.35">
      <c r="B5" s="22"/>
      <c r="C5" s="57" t="s">
        <v>160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23"/>
    </row>
    <row r="6" spans="2:30" ht="25.15" customHeight="1" x14ac:dyDescent="0.35">
      <c r="B6" s="22"/>
      <c r="C6" s="57" t="s">
        <v>161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23"/>
    </row>
    <row r="7" spans="2:30" ht="25.15" customHeight="1" x14ac:dyDescent="0.35">
      <c r="B7" s="22"/>
      <c r="C7" s="57" t="s">
        <v>162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23"/>
    </row>
    <row r="8" spans="2:30" ht="16.899999999999999" customHeight="1" x14ac:dyDescent="0.35">
      <c r="B8" s="22"/>
      <c r="AD8" s="23"/>
    </row>
    <row r="9" spans="2:30" ht="16.899999999999999" customHeight="1" x14ac:dyDescent="0.35">
      <c r="B9" s="22"/>
      <c r="AD9" s="23"/>
    </row>
    <row r="10" spans="2:30" ht="16.899999999999999" customHeight="1" x14ac:dyDescent="0.35">
      <c r="B10" s="22"/>
      <c r="AD10" s="23"/>
    </row>
    <row r="11" spans="2:30" ht="16.899999999999999" customHeight="1" x14ac:dyDescent="0.35">
      <c r="B11" s="22"/>
      <c r="AD11" s="23"/>
    </row>
    <row r="12" spans="2:30" ht="16.899999999999999" customHeight="1" x14ac:dyDescent="0.35">
      <c r="B12" s="22"/>
      <c r="I12" s="56" t="s">
        <v>0</v>
      </c>
      <c r="J12" s="56"/>
      <c r="K12" s="56"/>
      <c r="L12" s="35" t="s">
        <v>11</v>
      </c>
      <c r="M12" s="51" t="s">
        <v>292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AD12" s="23"/>
    </row>
    <row r="13" spans="2:30" ht="16.899999999999999" customHeight="1" x14ac:dyDescent="0.35">
      <c r="B13" s="22"/>
      <c r="I13" s="56" t="s">
        <v>163</v>
      </c>
      <c r="J13" s="56"/>
      <c r="K13" s="56"/>
      <c r="L13" s="35" t="s">
        <v>11</v>
      </c>
      <c r="M13" s="51" t="s">
        <v>292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AD13" s="23"/>
    </row>
    <row r="14" spans="2:30" ht="16.899999999999999" customHeight="1" x14ac:dyDescent="0.35">
      <c r="B14" s="22"/>
      <c r="I14" s="56" t="s">
        <v>164</v>
      </c>
      <c r="J14" s="56"/>
      <c r="K14" s="56"/>
      <c r="L14" s="35" t="s">
        <v>11</v>
      </c>
      <c r="M14" s="51" t="s">
        <v>313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AD14" s="23"/>
    </row>
    <row r="15" spans="2:30" ht="16.899999999999999" customHeight="1" x14ac:dyDescent="0.35">
      <c r="B15" s="22"/>
      <c r="I15" s="56" t="s">
        <v>165</v>
      </c>
      <c r="J15" s="56"/>
      <c r="K15" s="56"/>
      <c r="L15" s="35" t="s">
        <v>11</v>
      </c>
      <c r="M15" s="51" t="s">
        <v>320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AD15" s="23"/>
    </row>
    <row r="16" spans="2:30" ht="16.899999999999999" customHeight="1" x14ac:dyDescent="0.35">
      <c r="B16" s="22"/>
      <c r="I16" s="56" t="s">
        <v>173</v>
      </c>
      <c r="J16" s="56"/>
      <c r="K16" s="56"/>
      <c r="L16" s="35" t="s">
        <v>11</v>
      </c>
      <c r="M16" s="55" t="s">
        <v>321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AD16" s="23"/>
    </row>
    <row r="17" spans="2:30" ht="16.899999999999999" customHeight="1" x14ac:dyDescent="0.35">
      <c r="B17" s="22"/>
      <c r="AD17" s="23"/>
    </row>
    <row r="18" spans="2:30" ht="16.899999999999999" customHeight="1" x14ac:dyDescent="0.35">
      <c r="B18" s="22"/>
      <c r="D18" s="14" t="s">
        <v>175</v>
      </c>
      <c r="R18" s="14" t="s">
        <v>176</v>
      </c>
      <c r="AD18" s="23"/>
    </row>
    <row r="19" spans="2:30" ht="16.899999999999999" customHeight="1" x14ac:dyDescent="0.35">
      <c r="B19" s="22"/>
      <c r="D19" s="54" t="s">
        <v>166</v>
      </c>
      <c r="E19" s="54"/>
      <c r="F19" s="54"/>
      <c r="G19" s="54"/>
      <c r="H19" s="35" t="s">
        <v>11</v>
      </c>
      <c r="I19" s="51"/>
      <c r="J19" s="51"/>
      <c r="K19" s="51"/>
      <c r="L19" s="51"/>
      <c r="M19" s="51"/>
      <c r="N19" s="51"/>
      <c r="R19" s="54" t="s">
        <v>166</v>
      </c>
      <c r="S19" s="54"/>
      <c r="T19" s="54"/>
      <c r="U19" s="54"/>
      <c r="V19" s="35" t="s">
        <v>11</v>
      </c>
      <c r="W19" s="51" t="s">
        <v>314</v>
      </c>
      <c r="X19" s="51"/>
      <c r="Y19" s="51"/>
      <c r="Z19" s="51"/>
      <c r="AA19" s="51"/>
      <c r="AB19" s="51"/>
      <c r="AD19" s="23"/>
    </row>
    <row r="20" spans="2:30" ht="16.899999999999999" customHeight="1" x14ac:dyDescent="0.35">
      <c r="B20" s="22"/>
      <c r="D20" s="54" t="s">
        <v>167</v>
      </c>
      <c r="E20" s="54"/>
      <c r="F20" s="54"/>
      <c r="G20" s="54"/>
      <c r="H20" s="35" t="s">
        <v>11</v>
      </c>
      <c r="I20" s="51"/>
      <c r="J20" s="51"/>
      <c r="K20" s="51"/>
      <c r="L20" s="51"/>
      <c r="M20" s="51"/>
      <c r="N20" s="51"/>
      <c r="R20" s="54" t="s">
        <v>167</v>
      </c>
      <c r="S20" s="54"/>
      <c r="T20" s="54"/>
      <c r="U20" s="54"/>
      <c r="V20" s="35" t="s">
        <v>11</v>
      </c>
      <c r="W20" s="51" t="s">
        <v>322</v>
      </c>
      <c r="X20" s="51"/>
      <c r="Y20" s="51"/>
      <c r="Z20" s="51"/>
      <c r="AA20" s="51"/>
      <c r="AB20" s="51"/>
      <c r="AD20" s="23"/>
    </row>
    <row r="21" spans="2:30" ht="16.899999999999999" customHeight="1" x14ac:dyDescent="0.35">
      <c r="B21" s="22"/>
      <c r="D21" s="54" t="s">
        <v>168</v>
      </c>
      <c r="E21" s="54"/>
      <c r="F21" s="54"/>
      <c r="G21" s="54"/>
      <c r="H21" s="35" t="s">
        <v>11</v>
      </c>
      <c r="I21" s="51"/>
      <c r="J21" s="51"/>
      <c r="K21" s="51"/>
      <c r="L21" s="51"/>
      <c r="M21" s="51"/>
      <c r="N21" s="51"/>
      <c r="R21" s="54" t="s">
        <v>168</v>
      </c>
      <c r="S21" s="54"/>
      <c r="T21" s="54"/>
      <c r="U21" s="54"/>
      <c r="V21" s="35" t="s">
        <v>11</v>
      </c>
      <c r="W21" s="51" t="s">
        <v>323</v>
      </c>
      <c r="X21" s="51"/>
      <c r="Y21" s="51"/>
      <c r="Z21" s="51"/>
      <c r="AA21" s="51"/>
      <c r="AB21" s="51"/>
      <c r="AD21" s="23"/>
    </row>
    <row r="22" spans="2:30" ht="16.899999999999999" customHeight="1" x14ac:dyDescent="0.35">
      <c r="B22" s="22"/>
      <c r="D22" s="54" t="s">
        <v>169</v>
      </c>
      <c r="E22" s="54"/>
      <c r="F22" s="54"/>
      <c r="G22" s="54"/>
      <c r="H22" s="35" t="s">
        <v>11</v>
      </c>
      <c r="I22" s="51"/>
      <c r="J22" s="51"/>
      <c r="K22" s="51"/>
      <c r="L22" s="51"/>
      <c r="M22" s="51"/>
      <c r="N22" s="51"/>
      <c r="R22" s="54" t="s">
        <v>169</v>
      </c>
      <c r="S22" s="54"/>
      <c r="T22" s="54"/>
      <c r="U22" s="54"/>
      <c r="V22" s="35" t="s">
        <v>11</v>
      </c>
      <c r="W22" s="51"/>
      <c r="X22" s="51"/>
      <c r="Y22" s="51"/>
      <c r="Z22" s="51"/>
      <c r="AA22" s="51"/>
      <c r="AB22" s="51"/>
      <c r="AD22" s="23"/>
    </row>
    <row r="23" spans="2:30" ht="16.899999999999999" customHeight="1" x14ac:dyDescent="0.35">
      <c r="B23" s="22"/>
      <c r="D23" s="54" t="s">
        <v>171</v>
      </c>
      <c r="E23" s="54"/>
      <c r="F23" s="54"/>
      <c r="G23" s="54"/>
      <c r="H23" s="35" t="s">
        <v>11</v>
      </c>
      <c r="I23" s="51"/>
      <c r="J23" s="51"/>
      <c r="K23" s="51"/>
      <c r="L23" s="51"/>
      <c r="M23" s="51"/>
      <c r="N23" s="51"/>
      <c r="R23" s="54" t="s">
        <v>171</v>
      </c>
      <c r="S23" s="54"/>
      <c r="T23" s="54"/>
      <c r="U23" s="54"/>
      <c r="V23" s="35" t="s">
        <v>11</v>
      </c>
      <c r="W23" s="51" t="s">
        <v>324</v>
      </c>
      <c r="X23" s="51"/>
      <c r="Y23" s="51"/>
      <c r="Z23" s="51"/>
      <c r="AA23" s="51"/>
      <c r="AB23" s="51"/>
      <c r="AD23" s="23"/>
    </row>
    <row r="24" spans="2:30" ht="16.899999999999999" customHeight="1" x14ac:dyDescent="0.35">
      <c r="B24" s="22"/>
      <c r="D24" s="54" t="s">
        <v>172</v>
      </c>
      <c r="E24" s="54"/>
      <c r="F24" s="54"/>
      <c r="G24" s="54"/>
      <c r="H24" s="35" t="s">
        <v>11</v>
      </c>
      <c r="I24" s="51"/>
      <c r="J24" s="51"/>
      <c r="K24" s="51"/>
      <c r="L24" s="51"/>
      <c r="M24" s="51"/>
      <c r="N24" s="51"/>
      <c r="R24" s="54" t="s">
        <v>170</v>
      </c>
      <c r="S24" s="54"/>
      <c r="T24" s="54"/>
      <c r="U24" s="54"/>
      <c r="V24" s="35" t="s">
        <v>11</v>
      </c>
      <c r="W24" s="51" t="s">
        <v>293</v>
      </c>
      <c r="X24" s="51"/>
      <c r="Y24" s="51"/>
      <c r="Z24" s="51"/>
      <c r="AA24" s="51"/>
      <c r="AB24" s="51"/>
      <c r="AD24" s="23"/>
    </row>
    <row r="25" spans="2:30" ht="16.899999999999999" customHeight="1" x14ac:dyDescent="0.35">
      <c r="B25" s="22"/>
      <c r="D25" s="54" t="s">
        <v>170</v>
      </c>
      <c r="E25" s="54"/>
      <c r="F25" s="54"/>
      <c r="G25" s="54"/>
      <c r="H25" s="35" t="s">
        <v>11</v>
      </c>
      <c r="I25" s="51"/>
      <c r="J25" s="51"/>
      <c r="K25" s="51"/>
      <c r="L25" s="51"/>
      <c r="M25" s="51"/>
      <c r="N25" s="51"/>
      <c r="AD25" s="23"/>
    </row>
    <row r="26" spans="2:30" ht="16.899999999999999" customHeight="1" x14ac:dyDescent="0.35">
      <c r="B26" s="22"/>
      <c r="AD26" s="23"/>
    </row>
    <row r="27" spans="2:30" ht="16.899999999999999" customHeight="1" x14ac:dyDescent="0.35">
      <c r="B27" s="22"/>
      <c r="H27" s="14" t="s">
        <v>178</v>
      </c>
      <c r="AD27" s="23"/>
    </row>
    <row r="28" spans="2:30" ht="16.899999999999999" customHeight="1" x14ac:dyDescent="0.35">
      <c r="B28" s="22"/>
      <c r="H28" s="41" t="s">
        <v>177</v>
      </c>
      <c r="I28" s="42"/>
      <c r="J28" s="42"/>
      <c r="K28" s="42"/>
      <c r="L28" s="42"/>
      <c r="M28" s="42"/>
      <c r="N28" s="42"/>
      <c r="O28" s="52">
        <f>MIN(LCD!R55,DISTANCE!P188,'OCR-GFR'!P57:S57,'UJI FUNGSI'!P91:S91)</f>
        <v>9</v>
      </c>
      <c r="P28" s="52"/>
      <c r="Q28" s="52"/>
      <c r="R28" s="52"/>
      <c r="S28" s="52"/>
      <c r="T28" s="52"/>
      <c r="U28" s="52"/>
      <c r="AD28" s="23"/>
    </row>
    <row r="29" spans="2:30" ht="16.899999999999999" customHeight="1" x14ac:dyDescent="0.35">
      <c r="B29" s="22"/>
      <c r="AD29" s="23"/>
    </row>
    <row r="30" spans="2:30" ht="16.899999999999999" customHeight="1" x14ac:dyDescent="0.35">
      <c r="B30" s="22"/>
      <c r="I30" s="14"/>
      <c r="AD30" s="23"/>
    </row>
    <row r="31" spans="2:30" ht="16.899999999999999" customHeight="1" x14ac:dyDescent="0.35">
      <c r="B31" s="22"/>
      <c r="C31" s="53" t="s">
        <v>27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 t="s">
        <v>28</v>
      </c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23"/>
    </row>
    <row r="32" spans="2:30" ht="16.899999999999999" customHeight="1" x14ac:dyDescent="0.35">
      <c r="B32" s="22"/>
      <c r="C32" s="37">
        <v>1</v>
      </c>
      <c r="D32" s="51" t="s">
        <v>301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23"/>
    </row>
    <row r="33" spans="2:30" ht="16.899999999999999" customHeight="1" x14ac:dyDescent="0.35">
      <c r="B33" s="22"/>
      <c r="C33" s="37">
        <v>2</v>
      </c>
      <c r="D33" s="51" t="s">
        <v>315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23"/>
    </row>
    <row r="34" spans="2:30" ht="16.899999999999999" customHeight="1" x14ac:dyDescent="0.35">
      <c r="B34" s="22"/>
      <c r="C34" s="37">
        <v>3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23"/>
    </row>
    <row r="35" spans="2:30" ht="16.899999999999999" customHeight="1" x14ac:dyDescent="0.35">
      <c r="B35" s="22"/>
      <c r="C35" s="37">
        <v>4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23"/>
    </row>
    <row r="36" spans="2:30" ht="16.899999999999999" customHeight="1" x14ac:dyDescent="0.35">
      <c r="B36" s="22"/>
      <c r="C36" s="37">
        <v>5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 t="s">
        <v>303</v>
      </c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23"/>
    </row>
    <row r="37" spans="2:30" ht="16.899999999999999" customHeight="1" x14ac:dyDescent="0.35">
      <c r="B37" s="22"/>
      <c r="AD37" s="23"/>
    </row>
    <row r="38" spans="2:30" ht="16.899999999999999" customHeight="1" x14ac:dyDescent="0.35">
      <c r="B38" s="22"/>
      <c r="AD38" s="23"/>
    </row>
    <row r="39" spans="2:30" ht="16.899999999999999" customHeight="1" x14ac:dyDescent="0.35">
      <c r="B39" s="22"/>
      <c r="E39" s="14" t="s">
        <v>179</v>
      </c>
      <c r="AD39" s="23"/>
    </row>
    <row r="40" spans="2:30" ht="16.899999999999999" customHeight="1" x14ac:dyDescent="0.35">
      <c r="B40" s="22"/>
      <c r="E40" s="14" t="s">
        <v>180</v>
      </c>
      <c r="AD40" s="23"/>
    </row>
    <row r="41" spans="2:30" ht="16.899999999999999" customHeight="1" x14ac:dyDescent="0.35">
      <c r="B41" s="22"/>
      <c r="E41" s="14" t="s">
        <v>181</v>
      </c>
      <c r="AD41" s="23"/>
    </row>
    <row r="42" spans="2:30" ht="16.899999999999999" customHeight="1" thickBot="1" x14ac:dyDescent="0.4"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9"/>
    </row>
    <row r="43" spans="2:30" ht="16.899999999999999" customHeight="1" x14ac:dyDescent="0.35"/>
    <row r="44" spans="2:30" ht="16.899999999999999" customHeight="1" x14ac:dyDescent="0.35"/>
    <row r="45" spans="2:30" ht="16.899999999999999" customHeight="1" x14ac:dyDescent="0.35"/>
    <row r="46" spans="2:30" ht="16.899999999999999" customHeight="1" x14ac:dyDescent="0.35"/>
    <row r="47" spans="2:30" ht="16.899999999999999" customHeight="1" x14ac:dyDescent="0.35"/>
    <row r="48" spans="2:30" ht="16.899999999999999" customHeight="1" x14ac:dyDescent="0.35"/>
    <row r="49" ht="16.899999999999999" customHeight="1" x14ac:dyDescent="0.35"/>
    <row r="50" ht="16.899999999999999" customHeight="1" x14ac:dyDescent="0.35"/>
    <row r="51" ht="16.899999999999999" customHeight="1" x14ac:dyDescent="0.35"/>
    <row r="52" ht="16.899999999999999" customHeight="1" x14ac:dyDescent="0.35"/>
    <row r="53" ht="16.899999999999999" customHeight="1" x14ac:dyDescent="0.35"/>
    <row r="54" ht="16.899999999999999" customHeight="1" x14ac:dyDescent="0.35"/>
    <row r="55" ht="16.899999999999999" customHeight="1" x14ac:dyDescent="0.35"/>
    <row r="56" ht="16.899999999999999" customHeight="1" x14ac:dyDescent="0.35"/>
    <row r="57" ht="16.899999999999999" customHeight="1" x14ac:dyDescent="0.35"/>
    <row r="58" ht="16.899999999999999" customHeight="1" x14ac:dyDescent="0.35"/>
    <row r="59" ht="16.899999999999999" customHeight="1" x14ac:dyDescent="0.35"/>
    <row r="60" ht="16.899999999999999" customHeight="1" x14ac:dyDescent="0.35"/>
    <row r="61" ht="16.899999999999999" customHeight="1" x14ac:dyDescent="0.35"/>
    <row r="62" ht="16.899999999999999" customHeight="1" x14ac:dyDescent="0.35"/>
    <row r="63" ht="16.899999999999999" customHeight="1" x14ac:dyDescent="0.35"/>
    <row r="64" ht="16.899999999999999" customHeight="1" x14ac:dyDescent="0.35"/>
    <row r="65" ht="16.899999999999999" customHeight="1" x14ac:dyDescent="0.35"/>
    <row r="66" ht="16.899999999999999" customHeight="1" x14ac:dyDescent="0.35"/>
    <row r="67" ht="16.899999999999999" customHeight="1" x14ac:dyDescent="0.35"/>
    <row r="68" ht="16.899999999999999" customHeight="1" x14ac:dyDescent="0.35"/>
    <row r="69" ht="16.899999999999999" customHeight="1" x14ac:dyDescent="0.35"/>
    <row r="70" ht="16.899999999999999" customHeight="1" x14ac:dyDescent="0.35"/>
    <row r="71" ht="16.899999999999999" customHeight="1" x14ac:dyDescent="0.35"/>
    <row r="72" ht="16.899999999999999" customHeight="1" x14ac:dyDescent="0.35"/>
    <row r="73" ht="16.899999999999999" customHeight="1" x14ac:dyDescent="0.35"/>
    <row r="74" ht="16.899999999999999" customHeight="1" x14ac:dyDescent="0.35"/>
    <row r="75" ht="16.899999999999999" customHeight="1" x14ac:dyDescent="0.35"/>
    <row r="76" ht="16.899999999999999" customHeight="1" x14ac:dyDescent="0.35"/>
    <row r="77" ht="16.899999999999999" customHeight="1" x14ac:dyDescent="0.35"/>
    <row r="78" ht="16.899999999999999" customHeight="1" x14ac:dyDescent="0.35"/>
    <row r="79" ht="16.899999999999999" customHeight="1" x14ac:dyDescent="0.35"/>
    <row r="80" ht="16.899999999999999" customHeight="1" x14ac:dyDescent="0.35"/>
    <row r="81" ht="16.899999999999999" customHeight="1" x14ac:dyDescent="0.35"/>
    <row r="82" ht="16.899999999999999" customHeight="1" x14ac:dyDescent="0.35"/>
    <row r="83" ht="16.899999999999999" customHeight="1" x14ac:dyDescent="0.35"/>
    <row r="84" ht="16.899999999999999" customHeight="1" x14ac:dyDescent="0.35"/>
    <row r="85" ht="16.899999999999999" customHeight="1" x14ac:dyDescent="0.35"/>
    <row r="86" ht="16.899999999999999" customHeight="1" x14ac:dyDescent="0.35"/>
    <row r="87" ht="16.899999999999999" customHeight="1" x14ac:dyDescent="0.35"/>
    <row r="88" ht="16.899999999999999" customHeight="1" x14ac:dyDescent="0.35"/>
    <row r="89" ht="16.899999999999999" customHeight="1" x14ac:dyDescent="0.35"/>
    <row r="90" ht="16.899999999999999" customHeight="1" x14ac:dyDescent="0.35"/>
    <row r="91" ht="16.899999999999999" customHeight="1" x14ac:dyDescent="0.35"/>
    <row r="92" ht="16.899999999999999" customHeight="1" x14ac:dyDescent="0.35"/>
    <row r="93" ht="16.899999999999999" customHeight="1" x14ac:dyDescent="0.35"/>
    <row r="94" ht="16.899999999999999" customHeight="1" x14ac:dyDescent="0.35"/>
    <row r="95" ht="16.899999999999999" customHeight="1" x14ac:dyDescent="0.35"/>
    <row r="96" ht="16.899999999999999" customHeight="1" x14ac:dyDescent="0.35"/>
    <row r="97" ht="16.899999999999999" customHeight="1" x14ac:dyDescent="0.35"/>
    <row r="98" ht="16.899999999999999" customHeight="1" x14ac:dyDescent="0.35"/>
    <row r="99" ht="16.899999999999999" customHeight="1" x14ac:dyDescent="0.35"/>
    <row r="100" ht="16.899999999999999" customHeight="1" x14ac:dyDescent="0.35"/>
    <row r="101" ht="16.899999999999999" customHeight="1" x14ac:dyDescent="0.35"/>
    <row r="102" ht="16.899999999999999" customHeight="1" x14ac:dyDescent="0.35"/>
    <row r="103" ht="16.899999999999999" customHeight="1" x14ac:dyDescent="0.35"/>
    <row r="104" ht="16.899999999999999" customHeight="1" x14ac:dyDescent="0.35"/>
    <row r="105" ht="16.899999999999999" customHeight="1" x14ac:dyDescent="0.35"/>
    <row r="106" ht="16.899999999999999" customHeight="1" x14ac:dyDescent="0.35"/>
    <row r="107" ht="16.899999999999999" customHeight="1" x14ac:dyDescent="0.35"/>
    <row r="108" ht="16.899999999999999" customHeight="1" x14ac:dyDescent="0.35"/>
    <row r="109" ht="16.899999999999999" customHeight="1" x14ac:dyDescent="0.35"/>
    <row r="110" ht="16.899999999999999" customHeight="1" x14ac:dyDescent="0.35"/>
    <row r="111" ht="16.899999999999999" customHeight="1" x14ac:dyDescent="0.35"/>
    <row r="112" ht="16.899999999999999" customHeight="1" x14ac:dyDescent="0.35"/>
    <row r="113" ht="16.899999999999999" customHeight="1" x14ac:dyDescent="0.35"/>
    <row r="114" ht="16.899999999999999" customHeight="1" x14ac:dyDescent="0.35"/>
    <row r="115" ht="16.899999999999999" customHeight="1" x14ac:dyDescent="0.35"/>
    <row r="116" ht="16.899999999999999" customHeight="1" x14ac:dyDescent="0.35"/>
    <row r="117" ht="16.899999999999999" customHeight="1" x14ac:dyDescent="0.35"/>
    <row r="118" ht="16.899999999999999" customHeight="1" x14ac:dyDescent="0.35"/>
    <row r="119" ht="16.899999999999999" customHeight="1" x14ac:dyDescent="0.35"/>
    <row r="120" ht="16.899999999999999" customHeight="1" x14ac:dyDescent="0.35"/>
    <row r="121" ht="16.899999999999999" customHeight="1" x14ac:dyDescent="0.35"/>
    <row r="122" ht="16.899999999999999" customHeight="1" x14ac:dyDescent="0.35"/>
    <row r="123" ht="16.899999999999999" customHeight="1" x14ac:dyDescent="0.35"/>
    <row r="124" ht="16.899999999999999" customHeight="1" x14ac:dyDescent="0.35"/>
    <row r="125" ht="16.899999999999999" customHeight="1" x14ac:dyDescent="0.35"/>
    <row r="126" ht="16.899999999999999" customHeight="1" x14ac:dyDescent="0.35"/>
    <row r="127" ht="16.899999999999999" customHeight="1" x14ac:dyDescent="0.35"/>
    <row r="128" ht="16.899999999999999" customHeight="1" x14ac:dyDescent="0.35"/>
    <row r="129" ht="16.899999999999999" customHeight="1" x14ac:dyDescent="0.35"/>
    <row r="130" ht="16.899999999999999" customHeight="1" x14ac:dyDescent="0.35"/>
    <row r="131" ht="16.899999999999999" customHeight="1" x14ac:dyDescent="0.35"/>
    <row r="132" ht="16.899999999999999" customHeight="1" x14ac:dyDescent="0.35"/>
    <row r="133" ht="16.899999999999999" customHeight="1" x14ac:dyDescent="0.35"/>
    <row r="134" ht="16.899999999999999" customHeight="1" x14ac:dyDescent="0.35"/>
    <row r="135" ht="16.899999999999999" customHeight="1" x14ac:dyDescent="0.35"/>
    <row r="136" ht="16.899999999999999" customHeight="1" x14ac:dyDescent="0.35"/>
    <row r="137" ht="16.899999999999999" customHeight="1" x14ac:dyDescent="0.35"/>
    <row r="138" ht="16.899999999999999" customHeight="1" x14ac:dyDescent="0.35"/>
    <row r="139" ht="16.899999999999999" customHeight="1" x14ac:dyDescent="0.35"/>
    <row r="140" ht="16.899999999999999" customHeight="1" x14ac:dyDescent="0.35"/>
    <row r="141" ht="16.899999999999999" customHeight="1" x14ac:dyDescent="0.35"/>
    <row r="142" ht="16.899999999999999" customHeight="1" x14ac:dyDescent="0.35"/>
    <row r="143" ht="16.899999999999999" customHeight="1" x14ac:dyDescent="0.35"/>
  </sheetData>
  <sheetProtection algorithmName="SHA-512" hashValue="8EZYFawxe9Yv1S49nW6kZ7bZwLj1PawEsjsTdIPvY8PTLnihOlUDesC9JelJ3b7dCqKHQuE3q/h6btWkRom0Bg==" saltValue="swt9pZkEhFPTjYVxV0LUMQ==" spinCount="100000" sheet="1" scenarios="1"/>
  <mergeCells count="55">
    <mergeCell ref="D21:G21"/>
    <mergeCell ref="I21:N21"/>
    <mergeCell ref="D25:G25"/>
    <mergeCell ref="I25:N25"/>
    <mergeCell ref="I12:K12"/>
    <mergeCell ref="I13:K13"/>
    <mergeCell ref="I14:K14"/>
    <mergeCell ref="I15:K15"/>
    <mergeCell ref="D22:G22"/>
    <mergeCell ref="I22:N22"/>
    <mergeCell ref="D23:G23"/>
    <mergeCell ref="I23:N23"/>
    <mergeCell ref="D24:G24"/>
    <mergeCell ref="I24:N24"/>
    <mergeCell ref="D19:G19"/>
    <mergeCell ref="I19:N19"/>
    <mergeCell ref="D20:G20"/>
    <mergeCell ref="I20:N20"/>
    <mergeCell ref="I16:K16"/>
    <mergeCell ref="C4:AC4"/>
    <mergeCell ref="C5:AC5"/>
    <mergeCell ref="C6:AC6"/>
    <mergeCell ref="C7:AC7"/>
    <mergeCell ref="M12:W12"/>
    <mergeCell ref="M13:W13"/>
    <mergeCell ref="M14:W14"/>
    <mergeCell ref="M15:W15"/>
    <mergeCell ref="R23:U23"/>
    <mergeCell ref="W23:AB23"/>
    <mergeCell ref="R24:U24"/>
    <mergeCell ref="W24:AB24"/>
    <mergeCell ref="M16:W16"/>
    <mergeCell ref="R19:U19"/>
    <mergeCell ref="W19:AB19"/>
    <mergeCell ref="R20:U20"/>
    <mergeCell ref="W20:AB20"/>
    <mergeCell ref="R21:U21"/>
    <mergeCell ref="W21:AB21"/>
    <mergeCell ref="R22:U22"/>
    <mergeCell ref="W22:AB22"/>
    <mergeCell ref="P36:AC36"/>
    <mergeCell ref="O28:U28"/>
    <mergeCell ref="L33:O33"/>
    <mergeCell ref="D34:K34"/>
    <mergeCell ref="L34:O34"/>
    <mergeCell ref="D35:K35"/>
    <mergeCell ref="L35:O35"/>
    <mergeCell ref="D36:K36"/>
    <mergeCell ref="L36:O36"/>
    <mergeCell ref="C31:O31"/>
    <mergeCell ref="P31:AC31"/>
    <mergeCell ref="L32:O32"/>
    <mergeCell ref="P32:AC35"/>
    <mergeCell ref="D32:K32"/>
    <mergeCell ref="D33:K33"/>
  </mergeCells>
  <conditionalFormatting sqref="O28:U28">
    <cfRule type="colorScale" priority="1">
      <colorScale>
        <cfvo type="num" val="1"/>
        <cfvo type="num" val="9"/>
        <color theme="5" tint="0.79998168889431442"/>
        <color theme="9" tint="0.79998168889431442"/>
      </colorScale>
    </cfRule>
    <cfRule type="colorScale" priority="2">
      <colorScale>
        <cfvo type="num" val="1"/>
        <cfvo type="num" val="9"/>
        <color theme="5" tint="0.39997558519241921"/>
        <color theme="9" tint="0.39997558519241921"/>
      </colorScale>
    </cfRule>
  </conditionalFormatting>
  <printOptions horizontalCentered="1"/>
  <pageMargins left="0.70866141732283472" right="0.51181102362204722" top="0.74803149606299213" bottom="0.74803149606299213" header="0.31496062992125984" footer="0.31496062992125984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63"/>
  <sheetViews>
    <sheetView view="pageBreakPreview" zoomScale="76" zoomScaleNormal="100" zoomScaleSheetLayoutView="130" workbookViewId="0">
      <selection activeCell="M15" sqref="M15:P16"/>
    </sheetView>
  </sheetViews>
  <sheetFormatPr defaultColWidth="8.81640625" defaultRowHeight="16.899999999999999" customHeight="1" x14ac:dyDescent="0.35"/>
  <cols>
    <col min="1" max="1" width="4.1796875" style="1" customWidth="1"/>
    <col min="2" max="110" width="3.7265625" style="1" customWidth="1"/>
    <col min="111" max="16384" width="8.81640625" style="1"/>
  </cols>
  <sheetData>
    <row r="1" spans="2:36" ht="16.899999999999999" customHeight="1" thickBot="1" x14ac:dyDescent="0.4"/>
    <row r="2" spans="2:36" ht="16.899999999999999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6" ht="16.899999999999999" customHeight="1" x14ac:dyDescent="0.35">
      <c r="B3" s="22"/>
      <c r="C3" s="5"/>
      <c r="D3" s="6"/>
      <c r="E3" s="38" t="s">
        <v>10</v>
      </c>
      <c r="F3" s="38"/>
      <c r="G3" s="38"/>
      <c r="H3" s="38"/>
      <c r="I3" s="3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6" ht="16.899999999999999" customHeight="1" x14ac:dyDescent="0.35">
      <c r="B4" s="22"/>
      <c r="C4" s="8"/>
      <c r="E4" s="104" t="s">
        <v>0</v>
      </c>
      <c r="F4" s="104"/>
      <c r="G4" s="17"/>
      <c r="H4" s="17"/>
      <c r="I4" s="14" t="s">
        <v>11</v>
      </c>
      <c r="J4" s="62" t="s">
        <v>292</v>
      </c>
      <c r="K4" s="62"/>
      <c r="L4" s="62"/>
      <c r="M4" s="62"/>
      <c r="N4" s="62"/>
      <c r="O4" s="62"/>
      <c r="P4" s="62"/>
      <c r="Q4" s="62"/>
      <c r="R4" s="62"/>
      <c r="AF4" s="10"/>
      <c r="AG4" s="23"/>
    </row>
    <row r="5" spans="2:36" ht="16.899999999999999" customHeight="1" x14ac:dyDescent="0.35">
      <c r="B5" s="22"/>
      <c r="C5" s="11"/>
      <c r="D5" s="12"/>
      <c r="E5" s="105" t="s">
        <v>1</v>
      </c>
      <c r="F5" s="105"/>
      <c r="G5" s="39"/>
      <c r="H5" s="39"/>
      <c r="I5" s="40" t="s">
        <v>11</v>
      </c>
      <c r="J5" s="63" t="s">
        <v>292</v>
      </c>
      <c r="K5" s="63"/>
      <c r="L5" s="63"/>
      <c r="M5" s="63"/>
      <c r="N5" s="63"/>
      <c r="O5" s="63"/>
      <c r="P5" s="63"/>
      <c r="Q5" s="63"/>
      <c r="R5" s="63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6" ht="16.899999999999999" customHeight="1" x14ac:dyDescent="0.35">
      <c r="B6" s="22"/>
      <c r="AG6" s="23"/>
    </row>
    <row r="7" spans="2:36" ht="16.899999999999999" customHeight="1" x14ac:dyDescent="0.35">
      <c r="B7" s="22"/>
      <c r="C7" s="14" t="s">
        <v>2</v>
      </c>
      <c r="D7" s="14"/>
      <c r="E7" s="14" t="s">
        <v>122</v>
      </c>
      <c r="AG7" s="23"/>
      <c r="AJ7"/>
    </row>
    <row r="8" spans="2:36" ht="16.899999999999999" customHeight="1" thickBot="1" x14ac:dyDescent="0.4">
      <c r="B8" s="22"/>
      <c r="AG8" s="23"/>
    </row>
    <row r="9" spans="2:36" ht="37.15" customHeight="1" thickBot="1" x14ac:dyDescent="0.4">
      <c r="B9" s="22"/>
      <c r="E9" s="107" t="s">
        <v>3</v>
      </c>
      <c r="F9" s="58"/>
      <c r="G9" s="58" t="s">
        <v>259</v>
      </c>
      <c r="H9" s="58"/>
      <c r="I9" s="102" t="s">
        <v>4</v>
      </c>
      <c r="J9" s="102"/>
      <c r="K9" s="102"/>
      <c r="L9" s="102"/>
      <c r="M9" s="102" t="s">
        <v>5</v>
      </c>
      <c r="N9" s="102"/>
      <c r="O9" s="102"/>
      <c r="P9" s="102"/>
      <c r="Q9" s="106" t="s">
        <v>12</v>
      </c>
      <c r="R9" s="106"/>
      <c r="S9" s="106"/>
      <c r="T9" s="106"/>
      <c r="U9" s="106" t="s">
        <v>8</v>
      </c>
      <c r="V9" s="106"/>
      <c r="W9" s="106"/>
      <c r="X9" s="106"/>
      <c r="Y9" s="102" t="s">
        <v>6</v>
      </c>
      <c r="Z9" s="102"/>
      <c r="AA9" s="102"/>
      <c r="AB9" s="102"/>
      <c r="AC9" s="102"/>
      <c r="AD9" s="102"/>
      <c r="AE9" s="102"/>
      <c r="AF9" s="103"/>
      <c r="AG9" s="23"/>
    </row>
    <row r="10" spans="2:36" ht="16.899999999999999" customHeight="1" x14ac:dyDescent="0.35">
      <c r="B10" s="22"/>
      <c r="E10" s="59">
        <v>1</v>
      </c>
      <c r="F10" s="59"/>
      <c r="G10" s="59" t="s">
        <v>34</v>
      </c>
      <c r="H10" s="59"/>
      <c r="I10" s="83">
        <v>0.2</v>
      </c>
      <c r="J10" s="83"/>
      <c r="K10" s="83"/>
      <c r="L10" s="83"/>
      <c r="M10" s="83">
        <v>0.2</v>
      </c>
      <c r="N10" s="83"/>
      <c r="O10" s="83"/>
      <c r="P10" s="83"/>
      <c r="Q10" s="100">
        <f>IFERROR(((M10-I10)/I10),0)</f>
        <v>0</v>
      </c>
      <c r="R10" s="100"/>
      <c r="S10" s="100"/>
      <c r="T10" s="100"/>
      <c r="U10" s="101">
        <f>IF((ABS(Q10)&lt;=0.05),9,IF((ABS(Q10)&lt;=0.1),6,1))</f>
        <v>9</v>
      </c>
      <c r="V10" s="101"/>
      <c r="W10" s="101">
        <f>(O10-I10)/I10</f>
        <v>-1</v>
      </c>
      <c r="X10" s="101"/>
      <c r="Y10" s="83" t="s">
        <v>306</v>
      </c>
      <c r="Z10" s="83"/>
      <c r="AA10" s="83"/>
      <c r="AB10" s="83"/>
      <c r="AC10" s="83"/>
      <c r="AD10" s="83"/>
      <c r="AE10" s="83"/>
      <c r="AF10" s="83"/>
      <c r="AG10" s="23"/>
    </row>
    <row r="11" spans="2:36" ht="16.899999999999999" customHeight="1" x14ac:dyDescent="0.35">
      <c r="B11" s="22"/>
      <c r="E11" s="60">
        <v>2</v>
      </c>
      <c r="F11" s="60"/>
      <c r="G11" s="60" t="s">
        <v>35</v>
      </c>
      <c r="H11" s="60"/>
      <c r="I11" s="83">
        <v>0.2</v>
      </c>
      <c r="J11" s="83"/>
      <c r="K11" s="83"/>
      <c r="L11" s="83"/>
      <c r="M11" s="83">
        <v>0.2</v>
      </c>
      <c r="N11" s="83"/>
      <c r="O11" s="83"/>
      <c r="P11" s="83"/>
      <c r="Q11" s="97">
        <f t="shared" ref="Q11:Q15" si="0">IFERROR(((M11-I11)/I11),0)</f>
        <v>0</v>
      </c>
      <c r="R11" s="97"/>
      <c r="S11" s="97"/>
      <c r="T11" s="97"/>
      <c r="U11" s="52">
        <f>IF((ABS(Q11)&lt;=0.05),9,IF((ABS(Q11)&lt;=0.1),6,1))</f>
        <v>9</v>
      </c>
      <c r="V11" s="52"/>
      <c r="W11" s="52">
        <f t="shared" ref="W11:W16" si="1">(O11-I11)/I11</f>
        <v>-1</v>
      </c>
      <c r="X11" s="52"/>
      <c r="Y11" s="83" t="s">
        <v>307</v>
      </c>
      <c r="Z11" s="83"/>
      <c r="AA11" s="83"/>
      <c r="AB11" s="83"/>
      <c r="AC11" s="83"/>
      <c r="AD11" s="83"/>
      <c r="AE11" s="83"/>
      <c r="AF11" s="83"/>
      <c r="AG11" s="23"/>
    </row>
    <row r="12" spans="2:36" ht="16.899999999999999" customHeight="1" x14ac:dyDescent="0.35">
      <c r="B12" s="22"/>
      <c r="E12" s="60">
        <v>3</v>
      </c>
      <c r="F12" s="60"/>
      <c r="G12" s="60" t="s">
        <v>36</v>
      </c>
      <c r="H12" s="60"/>
      <c r="I12" s="83">
        <v>0.2</v>
      </c>
      <c r="J12" s="83"/>
      <c r="K12" s="83"/>
      <c r="L12" s="83"/>
      <c r="M12" s="83">
        <v>0.2</v>
      </c>
      <c r="N12" s="83"/>
      <c r="O12" s="83"/>
      <c r="P12" s="83"/>
      <c r="Q12" s="97">
        <f t="shared" si="0"/>
        <v>0</v>
      </c>
      <c r="R12" s="97"/>
      <c r="S12" s="97"/>
      <c r="T12" s="97"/>
      <c r="U12" s="52">
        <f t="shared" ref="U12:U15" si="2">IF((ABS(Q12)&lt;=0.05),9,IF((ABS(Q12)&lt;=0.1),6,1))</f>
        <v>9</v>
      </c>
      <c r="V12" s="52"/>
      <c r="W12" s="52">
        <f t="shared" si="1"/>
        <v>-1</v>
      </c>
      <c r="X12" s="52"/>
      <c r="Y12" s="83" t="s">
        <v>308</v>
      </c>
      <c r="Z12" s="83"/>
      <c r="AA12" s="83"/>
      <c r="AB12" s="83"/>
      <c r="AC12" s="83"/>
      <c r="AD12" s="83"/>
      <c r="AE12" s="83"/>
      <c r="AF12" s="83"/>
      <c r="AG12" s="23"/>
    </row>
    <row r="13" spans="2:36" ht="16.899999999999999" customHeight="1" x14ac:dyDescent="0.35">
      <c r="B13" s="22"/>
      <c r="E13" s="60">
        <v>4</v>
      </c>
      <c r="F13" s="60"/>
      <c r="G13" s="60" t="s">
        <v>37</v>
      </c>
      <c r="H13" s="60"/>
      <c r="I13" s="83">
        <v>0.2</v>
      </c>
      <c r="J13" s="83"/>
      <c r="K13" s="83"/>
      <c r="L13" s="83"/>
      <c r="M13" s="83">
        <v>0.2</v>
      </c>
      <c r="N13" s="83"/>
      <c r="O13" s="83"/>
      <c r="P13" s="83"/>
      <c r="Q13" s="97">
        <f t="shared" si="0"/>
        <v>0</v>
      </c>
      <c r="R13" s="97"/>
      <c r="S13" s="97"/>
      <c r="T13" s="97"/>
      <c r="U13" s="52">
        <f t="shared" si="2"/>
        <v>9</v>
      </c>
      <c r="V13" s="52"/>
      <c r="W13" s="52">
        <f t="shared" si="1"/>
        <v>-1</v>
      </c>
      <c r="X13" s="52"/>
      <c r="Y13" s="83" t="s">
        <v>309</v>
      </c>
      <c r="Z13" s="83"/>
      <c r="AA13" s="83"/>
      <c r="AB13" s="83"/>
      <c r="AC13" s="83"/>
      <c r="AD13" s="83"/>
      <c r="AE13" s="83"/>
      <c r="AF13" s="83"/>
      <c r="AG13" s="23"/>
    </row>
    <row r="14" spans="2:36" ht="16.899999999999999" customHeight="1" x14ac:dyDescent="0.35">
      <c r="B14" s="22"/>
      <c r="E14" s="60">
        <v>5</v>
      </c>
      <c r="F14" s="60"/>
      <c r="G14" s="60" t="s">
        <v>38</v>
      </c>
      <c r="H14" s="60"/>
      <c r="I14" s="83">
        <v>0.2</v>
      </c>
      <c r="J14" s="83"/>
      <c r="K14" s="83"/>
      <c r="L14" s="83"/>
      <c r="M14" s="83">
        <v>0.2</v>
      </c>
      <c r="N14" s="83"/>
      <c r="O14" s="83"/>
      <c r="P14" s="83"/>
      <c r="Q14" s="97">
        <f t="shared" si="0"/>
        <v>0</v>
      </c>
      <c r="R14" s="97"/>
      <c r="S14" s="97"/>
      <c r="T14" s="97"/>
      <c r="U14" s="52">
        <f t="shared" si="2"/>
        <v>9</v>
      </c>
      <c r="V14" s="52"/>
      <c r="W14" s="52">
        <f t="shared" si="1"/>
        <v>-1</v>
      </c>
      <c r="X14" s="52"/>
      <c r="Y14" s="83" t="s">
        <v>310</v>
      </c>
      <c r="Z14" s="83"/>
      <c r="AA14" s="83"/>
      <c r="AB14" s="83"/>
      <c r="AC14" s="83"/>
      <c r="AD14" s="83"/>
      <c r="AE14" s="83"/>
      <c r="AF14" s="83"/>
      <c r="AG14" s="23"/>
    </row>
    <row r="15" spans="2:36" ht="16.899999999999999" customHeight="1" x14ac:dyDescent="0.35">
      <c r="B15" s="22"/>
      <c r="E15" s="60">
        <v>6</v>
      </c>
      <c r="F15" s="60"/>
      <c r="G15" s="60" t="s">
        <v>39</v>
      </c>
      <c r="H15" s="60"/>
      <c r="I15" s="83">
        <v>0.2</v>
      </c>
      <c r="J15" s="83"/>
      <c r="K15" s="83"/>
      <c r="L15" s="83"/>
      <c r="M15" s="83">
        <v>0.2</v>
      </c>
      <c r="N15" s="83"/>
      <c r="O15" s="83"/>
      <c r="P15" s="83"/>
      <c r="Q15" s="97">
        <f t="shared" si="0"/>
        <v>0</v>
      </c>
      <c r="R15" s="97"/>
      <c r="S15" s="97"/>
      <c r="T15" s="97"/>
      <c r="U15" s="52">
        <f t="shared" si="2"/>
        <v>9</v>
      </c>
      <c r="V15" s="52"/>
      <c r="W15" s="52">
        <f t="shared" si="1"/>
        <v>-1</v>
      </c>
      <c r="X15" s="52"/>
      <c r="Y15" s="83" t="s">
        <v>311</v>
      </c>
      <c r="Z15" s="83"/>
      <c r="AA15" s="83"/>
      <c r="AB15" s="83"/>
      <c r="AC15" s="83"/>
      <c r="AD15" s="83"/>
      <c r="AE15" s="83"/>
      <c r="AF15" s="83"/>
      <c r="AG15" s="23"/>
    </row>
    <row r="16" spans="2:36" ht="16.899999999999999" customHeight="1" x14ac:dyDescent="0.35">
      <c r="B16" s="22"/>
      <c r="E16" s="60">
        <v>7</v>
      </c>
      <c r="F16" s="60"/>
      <c r="G16" s="60" t="s">
        <v>40</v>
      </c>
      <c r="H16" s="60"/>
      <c r="I16" s="83">
        <v>0.2</v>
      </c>
      <c r="J16" s="83"/>
      <c r="K16" s="83"/>
      <c r="L16" s="83"/>
      <c r="M16" s="83">
        <v>0.2</v>
      </c>
      <c r="N16" s="83"/>
      <c r="O16" s="83"/>
      <c r="P16" s="83"/>
      <c r="Q16" s="97">
        <f>IFERROR(((M16-I16)/I16),0)</f>
        <v>0</v>
      </c>
      <c r="R16" s="97"/>
      <c r="S16" s="97"/>
      <c r="T16" s="97"/>
      <c r="U16" s="52">
        <f>IF((ABS(Q16)&lt;=0.05),9,IF((ABS(Q16)&lt;=0.1),6,1))</f>
        <v>9</v>
      </c>
      <c r="V16" s="52"/>
      <c r="W16" s="52">
        <f t="shared" si="1"/>
        <v>-1</v>
      </c>
      <c r="X16" s="52"/>
      <c r="Y16" s="83" t="s">
        <v>312</v>
      </c>
      <c r="Z16" s="83"/>
      <c r="AA16" s="83"/>
      <c r="AB16" s="83"/>
      <c r="AC16" s="83"/>
      <c r="AD16" s="83"/>
      <c r="AE16" s="83"/>
      <c r="AF16" s="83"/>
      <c r="AG16" s="23"/>
    </row>
    <row r="17" spans="2:33" ht="16.899999999999999" customHeight="1" x14ac:dyDescent="0.35">
      <c r="B17" s="2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G17" s="23"/>
    </row>
    <row r="18" spans="2:33" ht="16.899999999999999" customHeight="1" x14ac:dyDescent="0.35">
      <c r="B18" s="22"/>
      <c r="E18" s="67" t="s">
        <v>9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>
        <f>MIN(U10,U11,U12,U13,U14,U15,U16)</f>
        <v>9</v>
      </c>
      <c r="S18" s="68"/>
      <c r="T18" s="68"/>
      <c r="U18" s="68"/>
      <c r="AG18" s="23"/>
    </row>
    <row r="19" spans="2:33" ht="16.899999999999999" customHeight="1" x14ac:dyDescent="0.35">
      <c r="B19" s="22"/>
      <c r="AG19" s="23"/>
    </row>
    <row r="20" spans="2:33" ht="16.899999999999999" customHeight="1" x14ac:dyDescent="0.35">
      <c r="B20" s="22"/>
      <c r="C20" s="14" t="s">
        <v>7</v>
      </c>
      <c r="D20" s="14"/>
      <c r="E20" s="14" t="s">
        <v>123</v>
      </c>
      <c r="AG20" s="23"/>
    </row>
    <row r="21" spans="2:33" ht="16.899999999999999" customHeight="1" x14ac:dyDescent="0.35">
      <c r="B21" s="22"/>
      <c r="AG21" s="23"/>
    </row>
    <row r="22" spans="2:33" ht="37.15" customHeight="1" x14ac:dyDescent="0.35">
      <c r="B22" s="22"/>
      <c r="E22" s="61" t="s">
        <v>3</v>
      </c>
      <c r="F22" s="61"/>
      <c r="G22" s="61" t="s">
        <v>259</v>
      </c>
      <c r="H22" s="61"/>
      <c r="I22" s="98" t="s">
        <v>260</v>
      </c>
      <c r="J22" s="98"/>
      <c r="K22" s="98"/>
      <c r="L22" s="98"/>
      <c r="M22" s="98"/>
      <c r="N22" s="98" t="s">
        <v>261</v>
      </c>
      <c r="O22" s="98"/>
      <c r="P22" s="98"/>
      <c r="Q22" s="98"/>
      <c r="R22" s="98"/>
      <c r="S22" s="99" t="s">
        <v>12</v>
      </c>
      <c r="T22" s="99"/>
      <c r="U22" s="99"/>
      <c r="V22" s="99"/>
      <c r="W22" s="67" t="s">
        <v>8</v>
      </c>
      <c r="X22" s="67"/>
      <c r="Y22" s="67"/>
      <c r="Z22" s="67"/>
      <c r="AG22" s="23"/>
    </row>
    <row r="23" spans="2:33" ht="16.899999999999999" customHeight="1" x14ac:dyDescent="0.35">
      <c r="B23" s="22"/>
      <c r="E23" s="60">
        <v>1</v>
      </c>
      <c r="F23" s="60"/>
      <c r="G23" s="60" t="s">
        <v>34</v>
      </c>
      <c r="H23" s="60"/>
      <c r="I23" s="80">
        <v>0</v>
      </c>
      <c r="J23" s="80"/>
      <c r="K23" s="80"/>
      <c r="L23" s="80"/>
      <c r="M23" s="80"/>
      <c r="N23" s="80">
        <v>2.8000000000000001E-2</v>
      </c>
      <c r="O23" s="80"/>
      <c r="P23" s="80"/>
      <c r="Q23" s="80"/>
      <c r="R23" s="80"/>
      <c r="S23" s="90">
        <f>ABS(N23-I23)</f>
        <v>2.8000000000000001E-2</v>
      </c>
      <c r="T23" s="90"/>
      <c r="U23" s="90"/>
      <c r="V23" s="90"/>
      <c r="W23" s="91">
        <f>IF((ABS(S23)&lt;=0.05),9,IF((ABS(S23)&lt;=0.1),6,1))</f>
        <v>9</v>
      </c>
      <c r="X23" s="91"/>
      <c r="Y23" s="91" t="e">
        <f>(Q23-K23)/K23</f>
        <v>#DIV/0!</v>
      </c>
      <c r="Z23" s="91"/>
      <c r="AG23" s="23"/>
    </row>
    <row r="24" spans="2:33" ht="16.899999999999999" customHeight="1" x14ac:dyDescent="0.35">
      <c r="B24" s="22"/>
      <c r="E24" s="60">
        <v>2</v>
      </c>
      <c r="F24" s="60"/>
      <c r="G24" s="60" t="s">
        <v>35</v>
      </c>
      <c r="H24" s="60"/>
      <c r="I24" s="80">
        <v>0</v>
      </c>
      <c r="J24" s="80"/>
      <c r="K24" s="80"/>
      <c r="L24" s="80"/>
      <c r="M24" s="80"/>
      <c r="N24" s="80">
        <v>2.7E-2</v>
      </c>
      <c r="O24" s="80"/>
      <c r="P24" s="80"/>
      <c r="Q24" s="80"/>
      <c r="R24" s="80"/>
      <c r="S24" s="90">
        <f t="shared" ref="S24:S28" si="3">ABS(N24-I24)</f>
        <v>2.7E-2</v>
      </c>
      <c r="T24" s="90"/>
      <c r="U24" s="90"/>
      <c r="V24" s="90"/>
      <c r="W24" s="91">
        <f t="shared" ref="W24:W28" si="4">IF((ABS(S24)&lt;=0.05),9,IF((ABS(S24)&lt;=0.1),6,1))</f>
        <v>9</v>
      </c>
      <c r="X24" s="91"/>
      <c r="Y24" s="91" t="e">
        <f t="shared" ref="Y24:Y29" si="5">(Q24-K24)/K24</f>
        <v>#DIV/0!</v>
      </c>
      <c r="Z24" s="91"/>
      <c r="AG24" s="23"/>
    </row>
    <row r="25" spans="2:33" ht="16.899999999999999" customHeight="1" x14ac:dyDescent="0.35">
      <c r="B25" s="22"/>
      <c r="E25" s="60">
        <v>3</v>
      </c>
      <c r="F25" s="60"/>
      <c r="G25" s="60" t="s">
        <v>36</v>
      </c>
      <c r="H25" s="60"/>
      <c r="I25" s="80">
        <v>0</v>
      </c>
      <c r="J25" s="80"/>
      <c r="K25" s="80"/>
      <c r="L25" s="80"/>
      <c r="M25" s="80"/>
      <c r="N25" s="80">
        <v>2.8000000000000001E-2</v>
      </c>
      <c r="O25" s="80"/>
      <c r="P25" s="80"/>
      <c r="Q25" s="80"/>
      <c r="R25" s="80"/>
      <c r="S25" s="90">
        <f t="shared" si="3"/>
        <v>2.8000000000000001E-2</v>
      </c>
      <c r="T25" s="90"/>
      <c r="U25" s="90"/>
      <c r="V25" s="90"/>
      <c r="W25" s="91">
        <f t="shared" si="4"/>
        <v>9</v>
      </c>
      <c r="X25" s="91"/>
      <c r="Y25" s="91" t="e">
        <f t="shared" si="5"/>
        <v>#DIV/0!</v>
      </c>
      <c r="Z25" s="91"/>
      <c r="AG25" s="23"/>
    </row>
    <row r="26" spans="2:33" ht="16.899999999999999" customHeight="1" x14ac:dyDescent="0.35">
      <c r="B26" s="22"/>
      <c r="E26" s="60">
        <v>4</v>
      </c>
      <c r="F26" s="60"/>
      <c r="G26" s="60" t="s">
        <v>37</v>
      </c>
      <c r="H26" s="60"/>
      <c r="I26" s="96" t="s">
        <v>299</v>
      </c>
      <c r="J26" s="80"/>
      <c r="K26" s="80"/>
      <c r="L26" s="80"/>
      <c r="M26" s="80"/>
      <c r="N26" s="80">
        <v>3.1E-2</v>
      </c>
      <c r="O26" s="80"/>
      <c r="P26" s="80"/>
      <c r="Q26" s="80"/>
      <c r="R26" s="80"/>
      <c r="S26" s="90">
        <f t="shared" si="3"/>
        <v>3.1E-2</v>
      </c>
      <c r="T26" s="90"/>
      <c r="U26" s="90"/>
      <c r="V26" s="90"/>
      <c r="W26" s="91">
        <f t="shared" si="4"/>
        <v>9</v>
      </c>
      <c r="X26" s="91"/>
      <c r="Y26" s="91" t="e">
        <f t="shared" si="5"/>
        <v>#DIV/0!</v>
      </c>
      <c r="Z26" s="91"/>
      <c r="AG26" s="23"/>
    </row>
    <row r="27" spans="2:33" ht="16.899999999999999" customHeight="1" x14ac:dyDescent="0.35">
      <c r="B27" s="22"/>
      <c r="E27" s="60">
        <v>5</v>
      </c>
      <c r="F27" s="60"/>
      <c r="G27" s="60" t="s">
        <v>38</v>
      </c>
      <c r="H27" s="60"/>
      <c r="I27" s="80">
        <v>0</v>
      </c>
      <c r="J27" s="80"/>
      <c r="K27" s="80"/>
      <c r="L27" s="80"/>
      <c r="M27" s="80"/>
      <c r="N27" s="80">
        <v>3.1E-2</v>
      </c>
      <c r="O27" s="80"/>
      <c r="P27" s="80"/>
      <c r="Q27" s="80"/>
      <c r="R27" s="80"/>
      <c r="S27" s="90">
        <f t="shared" si="3"/>
        <v>3.1E-2</v>
      </c>
      <c r="T27" s="90"/>
      <c r="U27" s="90"/>
      <c r="V27" s="90"/>
      <c r="W27" s="91">
        <f t="shared" si="4"/>
        <v>9</v>
      </c>
      <c r="X27" s="91"/>
      <c r="Y27" s="91" t="e">
        <f t="shared" si="5"/>
        <v>#DIV/0!</v>
      </c>
      <c r="Z27" s="91"/>
      <c r="AG27" s="23"/>
    </row>
    <row r="28" spans="2:33" ht="16.899999999999999" customHeight="1" x14ac:dyDescent="0.35">
      <c r="B28" s="22"/>
      <c r="E28" s="60">
        <v>6</v>
      </c>
      <c r="F28" s="60"/>
      <c r="G28" s="60" t="s">
        <v>39</v>
      </c>
      <c r="H28" s="60"/>
      <c r="I28" s="80">
        <v>0</v>
      </c>
      <c r="J28" s="80"/>
      <c r="K28" s="80"/>
      <c r="L28" s="80"/>
      <c r="M28" s="80"/>
      <c r="N28" s="80">
        <v>3.1E-2</v>
      </c>
      <c r="O28" s="80"/>
      <c r="P28" s="80"/>
      <c r="Q28" s="80"/>
      <c r="R28" s="80"/>
      <c r="S28" s="90">
        <f t="shared" si="3"/>
        <v>3.1E-2</v>
      </c>
      <c r="T28" s="90"/>
      <c r="U28" s="90"/>
      <c r="V28" s="90"/>
      <c r="W28" s="91">
        <f t="shared" si="4"/>
        <v>9</v>
      </c>
      <c r="X28" s="91"/>
      <c r="Y28" s="91" t="e">
        <f t="shared" si="5"/>
        <v>#DIV/0!</v>
      </c>
      <c r="Z28" s="91"/>
      <c r="AG28" s="23"/>
    </row>
    <row r="29" spans="2:33" ht="16.899999999999999" customHeight="1" x14ac:dyDescent="0.35">
      <c r="B29" s="22"/>
      <c r="E29" s="60">
        <v>7</v>
      </c>
      <c r="F29" s="60"/>
      <c r="G29" s="60" t="s">
        <v>40</v>
      </c>
      <c r="H29" s="60"/>
      <c r="I29" s="80">
        <v>0</v>
      </c>
      <c r="J29" s="80"/>
      <c r="K29" s="80"/>
      <c r="L29" s="80"/>
      <c r="M29" s="80"/>
      <c r="N29" s="80">
        <v>3.2000000000000001E-2</v>
      </c>
      <c r="O29" s="80"/>
      <c r="P29" s="80"/>
      <c r="Q29" s="80"/>
      <c r="R29" s="80"/>
      <c r="S29" s="90">
        <f>ABS(N29-I29)</f>
        <v>3.2000000000000001E-2</v>
      </c>
      <c r="T29" s="90"/>
      <c r="U29" s="90"/>
      <c r="V29" s="90"/>
      <c r="W29" s="91">
        <f>IF((ABS(S29)&lt;=0.05),9,IF((ABS(S29)&lt;=0.1),6,1))</f>
        <v>9</v>
      </c>
      <c r="X29" s="91"/>
      <c r="Y29" s="91" t="e">
        <f t="shared" si="5"/>
        <v>#DIV/0!</v>
      </c>
      <c r="Z29" s="91"/>
      <c r="AG29" s="23"/>
    </row>
    <row r="30" spans="2:33" ht="16.899999999999999" customHeight="1" x14ac:dyDescent="0.35">
      <c r="B30" s="22"/>
      <c r="AG30" s="23"/>
    </row>
    <row r="31" spans="2:33" ht="16.899999999999999" customHeight="1" x14ac:dyDescent="0.35">
      <c r="B31" s="22"/>
      <c r="E31" s="67" t="s">
        <v>13</v>
      </c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8">
        <f>MIN(W23,W24,W25,W26,W27,W28,W29)</f>
        <v>9</v>
      </c>
      <c r="S31" s="68"/>
      <c r="T31" s="68"/>
      <c r="U31" s="68"/>
      <c r="AG31" s="23"/>
    </row>
    <row r="32" spans="2:33" ht="16.899999999999999" customHeight="1" x14ac:dyDescent="0.35">
      <c r="B32" s="22"/>
      <c r="AG32" s="23"/>
    </row>
    <row r="33" spans="2:33" ht="16.899999999999999" customHeight="1" x14ac:dyDescent="0.35">
      <c r="B33" s="22"/>
      <c r="C33" s="14" t="s">
        <v>14</v>
      </c>
      <c r="D33" s="14"/>
      <c r="E33" s="14" t="s">
        <v>124</v>
      </c>
      <c r="F33" s="14"/>
      <c r="G33" s="14"/>
      <c r="H33" s="14"/>
      <c r="AG33" s="23"/>
    </row>
    <row r="34" spans="2:33" ht="16.899999999999999" customHeight="1" thickBot="1" x14ac:dyDescent="0.4">
      <c r="B34" s="22"/>
      <c r="AG34" s="23"/>
    </row>
    <row r="35" spans="2:33" s="4" customFormat="1" ht="37.15" customHeight="1" thickBot="1" x14ac:dyDescent="0.4">
      <c r="B35" s="25"/>
      <c r="E35" s="92" t="s">
        <v>3</v>
      </c>
      <c r="F35" s="93"/>
      <c r="G35" s="93" t="s">
        <v>18</v>
      </c>
      <c r="H35" s="93"/>
      <c r="I35" s="93"/>
      <c r="J35" s="93"/>
      <c r="K35" s="93"/>
      <c r="L35" s="94" t="s">
        <v>273</v>
      </c>
      <c r="M35" s="94"/>
      <c r="N35" s="94"/>
      <c r="O35" s="94"/>
      <c r="P35" s="94"/>
      <c r="Q35" s="94" t="s">
        <v>274</v>
      </c>
      <c r="R35" s="94"/>
      <c r="S35" s="94"/>
      <c r="T35" s="94"/>
      <c r="U35" s="94"/>
      <c r="V35" s="94" t="s">
        <v>19</v>
      </c>
      <c r="W35" s="94"/>
      <c r="X35" s="94"/>
      <c r="Y35" s="94"/>
      <c r="Z35" s="94" t="s">
        <v>20</v>
      </c>
      <c r="AA35" s="94"/>
      <c r="AB35" s="94"/>
      <c r="AC35" s="94"/>
      <c r="AD35" s="94"/>
      <c r="AE35" s="94"/>
      <c r="AF35" s="95"/>
      <c r="AG35" s="26"/>
    </row>
    <row r="36" spans="2:33" ht="16.899999999999999" customHeight="1" x14ac:dyDescent="0.35">
      <c r="B36" s="22"/>
      <c r="E36" s="73">
        <v>1</v>
      </c>
      <c r="F36" s="74"/>
      <c r="G36" s="74" t="s">
        <v>16</v>
      </c>
      <c r="H36" s="74"/>
      <c r="I36" s="74"/>
      <c r="J36" s="74"/>
      <c r="K36" s="74"/>
      <c r="L36" s="87" t="s">
        <v>271</v>
      </c>
      <c r="M36" s="87"/>
      <c r="N36" s="87"/>
      <c r="O36" s="87"/>
      <c r="P36" s="87"/>
      <c r="Q36" s="87" t="s">
        <v>271</v>
      </c>
      <c r="R36" s="87"/>
      <c r="S36" s="87"/>
      <c r="T36" s="87"/>
      <c r="U36" s="87"/>
      <c r="V36" s="79"/>
      <c r="W36" s="79"/>
      <c r="X36" s="79"/>
      <c r="Y36" s="79"/>
      <c r="Z36" s="79" t="s">
        <v>276</v>
      </c>
      <c r="AA36" s="79"/>
      <c r="AB36" s="79"/>
      <c r="AC36" s="79"/>
      <c r="AD36" s="79"/>
      <c r="AE36" s="79"/>
      <c r="AF36" s="82"/>
      <c r="AG36" s="23"/>
    </row>
    <row r="37" spans="2:33" ht="16.899999999999999" customHeight="1" x14ac:dyDescent="0.35">
      <c r="B37" s="22"/>
      <c r="E37" s="75"/>
      <c r="F37" s="76"/>
      <c r="G37" s="76"/>
      <c r="H37" s="76"/>
      <c r="I37" s="76"/>
      <c r="J37" s="76"/>
      <c r="K37" s="76"/>
      <c r="L37" s="88" t="s">
        <v>272</v>
      </c>
      <c r="M37" s="88"/>
      <c r="N37" s="88"/>
      <c r="O37" s="88"/>
      <c r="P37" s="88"/>
      <c r="Q37" s="88" t="s">
        <v>272</v>
      </c>
      <c r="R37" s="88"/>
      <c r="S37" s="88"/>
      <c r="T37" s="88"/>
      <c r="U37" s="88"/>
      <c r="V37" s="80"/>
      <c r="W37" s="80"/>
      <c r="X37" s="80"/>
      <c r="Y37" s="80"/>
      <c r="Z37" s="83" t="s">
        <v>276</v>
      </c>
      <c r="AA37" s="83"/>
      <c r="AB37" s="83"/>
      <c r="AC37" s="83"/>
      <c r="AD37" s="83"/>
      <c r="AE37" s="83"/>
      <c r="AF37" s="84"/>
      <c r="AG37" s="23"/>
    </row>
    <row r="38" spans="2:33" ht="16.899999999999999" customHeight="1" thickBot="1" x14ac:dyDescent="0.4">
      <c r="B38" s="22"/>
      <c r="E38" s="77"/>
      <c r="F38" s="78"/>
      <c r="G38" s="78"/>
      <c r="H38" s="78"/>
      <c r="I38" s="78"/>
      <c r="J38" s="78"/>
      <c r="K38" s="78"/>
      <c r="L38" s="89" t="s">
        <v>275</v>
      </c>
      <c r="M38" s="89"/>
      <c r="N38" s="89"/>
      <c r="O38" s="89"/>
      <c r="P38" s="89"/>
      <c r="Q38" s="89" t="s">
        <v>275</v>
      </c>
      <c r="R38" s="89"/>
      <c r="S38" s="89"/>
      <c r="T38" s="89"/>
      <c r="U38" s="89"/>
      <c r="V38" s="81"/>
      <c r="W38" s="81"/>
      <c r="X38" s="81"/>
      <c r="Y38" s="81"/>
      <c r="Z38" s="85" t="s">
        <v>276</v>
      </c>
      <c r="AA38" s="85"/>
      <c r="AB38" s="85"/>
      <c r="AC38" s="85"/>
      <c r="AD38" s="85"/>
      <c r="AE38" s="85"/>
      <c r="AF38" s="86"/>
      <c r="AG38" s="23"/>
    </row>
    <row r="39" spans="2:33" ht="16.899999999999999" customHeight="1" x14ac:dyDescent="0.35">
      <c r="B39" s="22"/>
      <c r="E39" s="73">
        <v>2</v>
      </c>
      <c r="F39" s="74"/>
      <c r="G39" s="74" t="s">
        <v>15</v>
      </c>
      <c r="H39" s="74"/>
      <c r="I39" s="74"/>
      <c r="J39" s="74"/>
      <c r="K39" s="74"/>
      <c r="L39" s="87" t="s">
        <v>271</v>
      </c>
      <c r="M39" s="87"/>
      <c r="N39" s="87"/>
      <c r="O39" s="87"/>
      <c r="P39" s="87"/>
      <c r="Q39" s="87" t="s">
        <v>271</v>
      </c>
      <c r="R39" s="87"/>
      <c r="S39" s="87"/>
      <c r="T39" s="87"/>
      <c r="U39" s="87"/>
      <c r="V39" s="79"/>
      <c r="W39" s="79"/>
      <c r="X39" s="79"/>
      <c r="Y39" s="79"/>
      <c r="Z39" s="79" t="s">
        <v>276</v>
      </c>
      <c r="AA39" s="79"/>
      <c r="AB39" s="79"/>
      <c r="AC39" s="79"/>
      <c r="AD39" s="79"/>
      <c r="AE39" s="79"/>
      <c r="AF39" s="82"/>
      <c r="AG39" s="23"/>
    </row>
    <row r="40" spans="2:33" ht="16.899999999999999" customHeight="1" x14ac:dyDescent="0.35">
      <c r="B40" s="22"/>
      <c r="E40" s="75"/>
      <c r="F40" s="76"/>
      <c r="G40" s="76"/>
      <c r="H40" s="76"/>
      <c r="I40" s="76"/>
      <c r="J40" s="76"/>
      <c r="K40" s="76"/>
      <c r="L40" s="88" t="s">
        <v>272</v>
      </c>
      <c r="M40" s="88"/>
      <c r="N40" s="88"/>
      <c r="O40" s="88"/>
      <c r="P40" s="88"/>
      <c r="Q40" s="88" t="s">
        <v>272</v>
      </c>
      <c r="R40" s="88"/>
      <c r="S40" s="88"/>
      <c r="T40" s="88"/>
      <c r="U40" s="88"/>
      <c r="V40" s="80"/>
      <c r="W40" s="80"/>
      <c r="X40" s="80"/>
      <c r="Y40" s="80"/>
      <c r="Z40" s="83" t="s">
        <v>276</v>
      </c>
      <c r="AA40" s="83"/>
      <c r="AB40" s="83"/>
      <c r="AC40" s="83"/>
      <c r="AD40" s="83"/>
      <c r="AE40" s="83"/>
      <c r="AF40" s="84"/>
      <c r="AG40" s="23"/>
    </row>
    <row r="41" spans="2:33" ht="16.899999999999999" customHeight="1" thickBot="1" x14ac:dyDescent="0.4">
      <c r="B41" s="22"/>
      <c r="E41" s="77"/>
      <c r="F41" s="78"/>
      <c r="G41" s="78"/>
      <c r="H41" s="78"/>
      <c r="I41" s="78"/>
      <c r="J41" s="78"/>
      <c r="K41" s="78"/>
      <c r="L41" s="89" t="s">
        <v>275</v>
      </c>
      <c r="M41" s="89"/>
      <c r="N41" s="89"/>
      <c r="O41" s="89"/>
      <c r="P41" s="89"/>
      <c r="Q41" s="89" t="s">
        <v>275</v>
      </c>
      <c r="R41" s="89"/>
      <c r="S41" s="89"/>
      <c r="T41" s="89"/>
      <c r="U41" s="89"/>
      <c r="V41" s="81"/>
      <c r="W41" s="81"/>
      <c r="X41" s="81"/>
      <c r="Y41" s="81"/>
      <c r="Z41" s="85" t="s">
        <v>276</v>
      </c>
      <c r="AA41" s="85"/>
      <c r="AB41" s="85"/>
      <c r="AC41" s="85"/>
      <c r="AD41" s="85"/>
      <c r="AE41" s="85"/>
      <c r="AF41" s="86"/>
      <c r="AG41" s="23"/>
    </row>
    <row r="42" spans="2:33" ht="16.899999999999999" customHeight="1" x14ac:dyDescent="0.35">
      <c r="B42" s="22"/>
      <c r="E42" s="73">
        <v>3</v>
      </c>
      <c r="F42" s="74"/>
      <c r="G42" s="74" t="s">
        <v>17</v>
      </c>
      <c r="H42" s="74"/>
      <c r="I42" s="74"/>
      <c r="J42" s="74"/>
      <c r="K42" s="74"/>
      <c r="L42" s="87" t="s">
        <v>271</v>
      </c>
      <c r="M42" s="87"/>
      <c r="N42" s="87"/>
      <c r="O42" s="87"/>
      <c r="P42" s="87"/>
      <c r="Q42" s="87" t="s">
        <v>271</v>
      </c>
      <c r="R42" s="87"/>
      <c r="S42" s="87"/>
      <c r="T42" s="87"/>
      <c r="U42" s="87"/>
      <c r="V42" s="79"/>
      <c r="W42" s="79"/>
      <c r="X42" s="79"/>
      <c r="Y42" s="79"/>
      <c r="Z42" s="79" t="s">
        <v>276</v>
      </c>
      <c r="AA42" s="79"/>
      <c r="AB42" s="79"/>
      <c r="AC42" s="79"/>
      <c r="AD42" s="79"/>
      <c r="AE42" s="79"/>
      <c r="AF42" s="82"/>
      <c r="AG42" s="23"/>
    </row>
    <row r="43" spans="2:33" ht="16.899999999999999" customHeight="1" x14ac:dyDescent="0.35">
      <c r="B43" s="22"/>
      <c r="E43" s="75"/>
      <c r="F43" s="76"/>
      <c r="G43" s="76"/>
      <c r="H43" s="76"/>
      <c r="I43" s="76"/>
      <c r="J43" s="76"/>
      <c r="K43" s="76"/>
      <c r="L43" s="88" t="s">
        <v>272</v>
      </c>
      <c r="M43" s="88"/>
      <c r="N43" s="88"/>
      <c r="O43" s="88"/>
      <c r="P43" s="88"/>
      <c r="Q43" s="88" t="s">
        <v>272</v>
      </c>
      <c r="R43" s="88"/>
      <c r="S43" s="88"/>
      <c r="T43" s="88"/>
      <c r="U43" s="88"/>
      <c r="V43" s="80"/>
      <c r="W43" s="80"/>
      <c r="X43" s="80"/>
      <c r="Y43" s="80"/>
      <c r="Z43" s="83" t="s">
        <v>276</v>
      </c>
      <c r="AA43" s="83"/>
      <c r="AB43" s="83"/>
      <c r="AC43" s="83"/>
      <c r="AD43" s="83"/>
      <c r="AE43" s="83"/>
      <c r="AF43" s="84"/>
      <c r="AG43" s="23"/>
    </row>
    <row r="44" spans="2:33" ht="16.899999999999999" customHeight="1" thickBot="1" x14ac:dyDescent="0.4">
      <c r="B44" s="22"/>
      <c r="E44" s="77"/>
      <c r="F44" s="78"/>
      <c r="G44" s="78"/>
      <c r="H44" s="78"/>
      <c r="I44" s="78"/>
      <c r="J44" s="78"/>
      <c r="K44" s="78"/>
      <c r="L44" s="89" t="s">
        <v>275</v>
      </c>
      <c r="M44" s="89"/>
      <c r="N44" s="89"/>
      <c r="O44" s="89"/>
      <c r="P44" s="89"/>
      <c r="Q44" s="89" t="s">
        <v>275</v>
      </c>
      <c r="R44" s="89"/>
      <c r="S44" s="89"/>
      <c r="T44" s="89"/>
      <c r="U44" s="89"/>
      <c r="V44" s="81"/>
      <c r="W44" s="81"/>
      <c r="X44" s="81"/>
      <c r="Y44" s="81"/>
      <c r="Z44" s="85" t="s">
        <v>276</v>
      </c>
      <c r="AA44" s="85"/>
      <c r="AB44" s="85"/>
      <c r="AC44" s="85"/>
      <c r="AD44" s="85"/>
      <c r="AE44" s="85"/>
      <c r="AF44" s="86"/>
      <c r="AG44" s="23"/>
    </row>
    <row r="45" spans="2:33" ht="16.899999999999999" customHeight="1" x14ac:dyDescent="0.35">
      <c r="B45" s="22"/>
      <c r="AG45" s="23"/>
    </row>
    <row r="46" spans="2:33" ht="16.899999999999999" customHeight="1" x14ac:dyDescent="0.35">
      <c r="B46" s="22"/>
      <c r="E46" s="67" t="s">
        <v>21</v>
      </c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8">
        <f>IFERROR(IF(OR((V36="Trip"),(V39="Trip"),(V42="No Trip")),1,9),9)</f>
        <v>9</v>
      </c>
      <c r="S46" s="68"/>
      <c r="T46" s="68"/>
      <c r="U46" s="68"/>
      <c r="AG46" s="23"/>
    </row>
    <row r="47" spans="2:33" ht="16.899999999999999" customHeight="1" x14ac:dyDescent="0.35">
      <c r="B47" s="22"/>
      <c r="AG47" s="23"/>
    </row>
    <row r="48" spans="2:33" ht="16.899999999999999" customHeight="1" x14ac:dyDescent="0.35">
      <c r="B48" s="22"/>
      <c r="C48" s="14" t="s">
        <v>22</v>
      </c>
      <c r="D48" s="14"/>
      <c r="E48" s="14" t="s">
        <v>23</v>
      </c>
      <c r="AG48" s="23"/>
    </row>
    <row r="49" spans="2:33" ht="16.899999999999999" customHeight="1" x14ac:dyDescent="0.35">
      <c r="B49" s="22"/>
      <c r="E49" s="71" t="s">
        <v>305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23"/>
    </row>
    <row r="50" spans="2:33" ht="16.899999999999999" customHeight="1" x14ac:dyDescent="0.35">
      <c r="B50" s="2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23"/>
    </row>
    <row r="51" spans="2:33" ht="16.899999999999999" customHeight="1" x14ac:dyDescent="0.35">
      <c r="B51" s="2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23"/>
    </row>
    <row r="52" spans="2:33" ht="16.899999999999999" customHeight="1" x14ac:dyDescent="0.35">
      <c r="B52" s="2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23"/>
    </row>
    <row r="53" spans="2:33" ht="16.899999999999999" customHeight="1" x14ac:dyDescent="0.35">
      <c r="B53" s="22"/>
      <c r="AG53" s="23"/>
    </row>
    <row r="54" spans="2:33" ht="16.899999999999999" customHeight="1" x14ac:dyDescent="0.35">
      <c r="B54" s="22"/>
      <c r="C54" s="14" t="s">
        <v>24</v>
      </c>
      <c r="D54" s="14"/>
      <c r="E54" s="14" t="s">
        <v>25</v>
      </c>
      <c r="F54" s="14"/>
      <c r="G54" s="14"/>
      <c r="H54" s="14"/>
      <c r="AG54" s="23"/>
    </row>
    <row r="55" spans="2:33" ht="16.899999999999999" customHeight="1" x14ac:dyDescent="0.35">
      <c r="B55" s="22"/>
      <c r="E55" s="67" t="s">
        <v>26</v>
      </c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9">
        <f>MIN(R18,R31,R46)</f>
        <v>9</v>
      </c>
      <c r="S55" s="68"/>
      <c r="T55" s="68"/>
      <c r="U55" s="68"/>
      <c r="AG55" s="23"/>
    </row>
    <row r="56" spans="2:33" ht="16.899999999999999" customHeight="1" thickBot="1" x14ac:dyDescent="0.4">
      <c r="B56" s="22"/>
      <c r="AG56" s="23"/>
    </row>
    <row r="57" spans="2:33" ht="16.899999999999999" customHeight="1" thickBot="1" x14ac:dyDescent="0.4">
      <c r="B57" s="22"/>
      <c r="C57" s="70" t="s">
        <v>27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 t="s">
        <v>28</v>
      </c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6"/>
      <c r="AG57" s="23"/>
    </row>
    <row r="58" spans="2:33" ht="16.899999999999999" customHeight="1" x14ac:dyDescent="0.35">
      <c r="B58" s="22"/>
      <c r="C58" s="43">
        <v>1</v>
      </c>
      <c r="D58" s="51" t="s">
        <v>302</v>
      </c>
      <c r="E58" s="51"/>
      <c r="F58" s="51"/>
      <c r="G58" s="51"/>
      <c r="H58" s="51"/>
      <c r="I58" s="51"/>
      <c r="J58" s="51"/>
      <c r="K58" s="51"/>
      <c r="L58" s="51"/>
      <c r="M58" s="51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23"/>
    </row>
    <row r="59" spans="2:33" ht="16.899999999999999" customHeight="1" x14ac:dyDescent="0.35">
      <c r="B59" s="22"/>
      <c r="C59" s="37">
        <v>2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23"/>
    </row>
    <row r="60" spans="2:33" ht="16.899999999999999" customHeight="1" x14ac:dyDescent="0.35">
      <c r="B60" s="22"/>
      <c r="C60" s="37">
        <v>3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23"/>
    </row>
    <row r="61" spans="2:33" ht="16.899999999999999" customHeight="1" x14ac:dyDescent="0.35">
      <c r="B61" s="22"/>
      <c r="C61" s="37">
        <v>4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23"/>
    </row>
    <row r="62" spans="2:33" ht="16.899999999999999" customHeight="1" x14ac:dyDescent="0.35">
      <c r="B62" s="22"/>
      <c r="C62" s="37">
        <v>5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 t="s">
        <v>303</v>
      </c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23"/>
    </row>
    <row r="63" spans="2:33" ht="16.899999999999999" customHeight="1" thickBot="1" x14ac:dyDescent="0.4"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9"/>
    </row>
  </sheetData>
  <sheetProtection algorithmName="SHA-512" hashValue="hmN0FHJ3ujFAfU/Nt7gHpvT94uy3IuKZuf1MVhY14ux8nsXiQaIp3EcSGejW7KMYTGq1fSqrRHVoB2YpWpIdvA==" saltValue="GQamYTkHSSIMoOtnlkmoYg==" spinCount="100000" sheet="1" scenarios="1"/>
  <mergeCells count="173">
    <mergeCell ref="Y9:AF9"/>
    <mergeCell ref="Y10:AF10"/>
    <mergeCell ref="R18:U18"/>
    <mergeCell ref="E18:Q18"/>
    <mergeCell ref="E4:F4"/>
    <mergeCell ref="E5:F5"/>
    <mergeCell ref="I9:L9"/>
    <mergeCell ref="M9:P9"/>
    <mergeCell ref="Q9:T9"/>
    <mergeCell ref="U9:X9"/>
    <mergeCell ref="I11:L11"/>
    <mergeCell ref="M11:P11"/>
    <mergeCell ref="E15:F15"/>
    <mergeCell ref="E16:F16"/>
    <mergeCell ref="E13:F13"/>
    <mergeCell ref="E14:F14"/>
    <mergeCell ref="E11:F11"/>
    <mergeCell ref="E12:F12"/>
    <mergeCell ref="E9:F9"/>
    <mergeCell ref="E10:F10"/>
    <mergeCell ref="Q11:T11"/>
    <mergeCell ref="U11:X11"/>
    <mergeCell ref="I12:L12"/>
    <mergeCell ref="M12:P12"/>
    <mergeCell ref="Q12:T12"/>
    <mergeCell ref="U12:X12"/>
    <mergeCell ref="Y11:AF11"/>
    <mergeCell ref="Y12:AF12"/>
    <mergeCell ref="I10:L10"/>
    <mergeCell ref="M10:P10"/>
    <mergeCell ref="Q10:T10"/>
    <mergeCell ref="U10:X10"/>
    <mergeCell ref="Y13:AF13"/>
    <mergeCell ref="I13:L13"/>
    <mergeCell ref="M13:P13"/>
    <mergeCell ref="Q13:T13"/>
    <mergeCell ref="U13:X13"/>
    <mergeCell ref="Y14:AF14"/>
    <mergeCell ref="Y15:AF15"/>
    <mergeCell ref="Y16:AF16"/>
    <mergeCell ref="E22:F22"/>
    <mergeCell ref="I15:L15"/>
    <mergeCell ref="M15:P15"/>
    <mergeCell ref="Q15:T15"/>
    <mergeCell ref="U15:X15"/>
    <mergeCell ref="I16:L16"/>
    <mergeCell ref="M16:P16"/>
    <mergeCell ref="Q16:T16"/>
    <mergeCell ref="U16:X16"/>
    <mergeCell ref="I14:L14"/>
    <mergeCell ref="M14:P14"/>
    <mergeCell ref="Q14:T14"/>
    <mergeCell ref="U14:X14"/>
    <mergeCell ref="I22:M22"/>
    <mergeCell ref="N22:R22"/>
    <mergeCell ref="S22:V22"/>
    <mergeCell ref="W22:Z22"/>
    <mergeCell ref="E23:F23"/>
    <mergeCell ref="I23:M23"/>
    <mergeCell ref="N23:R23"/>
    <mergeCell ref="S23:V23"/>
    <mergeCell ref="W23:Z23"/>
    <mergeCell ref="E24:F24"/>
    <mergeCell ref="I24:M24"/>
    <mergeCell ref="N24:R24"/>
    <mergeCell ref="S24:V24"/>
    <mergeCell ref="W24:Z24"/>
    <mergeCell ref="G23:H23"/>
    <mergeCell ref="G24:H24"/>
    <mergeCell ref="E25:F25"/>
    <mergeCell ref="I25:M25"/>
    <mergeCell ref="N25:R25"/>
    <mergeCell ref="S25:V25"/>
    <mergeCell ref="W25:Z25"/>
    <mergeCell ref="E26:F26"/>
    <mergeCell ref="I26:M26"/>
    <mergeCell ref="N26:R26"/>
    <mergeCell ref="S26:V26"/>
    <mergeCell ref="W26:Z26"/>
    <mergeCell ref="G25:H25"/>
    <mergeCell ref="G26:H26"/>
    <mergeCell ref="E27:F27"/>
    <mergeCell ref="I27:M27"/>
    <mergeCell ref="N27:R27"/>
    <mergeCell ref="S27:V27"/>
    <mergeCell ref="W27:Z27"/>
    <mergeCell ref="E28:F28"/>
    <mergeCell ref="I28:M28"/>
    <mergeCell ref="N28:R28"/>
    <mergeCell ref="S28:V28"/>
    <mergeCell ref="W28:Z28"/>
    <mergeCell ref="G27:H27"/>
    <mergeCell ref="G28:H28"/>
    <mergeCell ref="E29:F29"/>
    <mergeCell ref="I29:M29"/>
    <mergeCell ref="N29:R29"/>
    <mergeCell ref="S29:V29"/>
    <mergeCell ref="W29:Z29"/>
    <mergeCell ref="E35:F35"/>
    <mergeCell ref="Z35:AF35"/>
    <mergeCell ref="E31:Q31"/>
    <mergeCell ref="R31:U31"/>
    <mergeCell ref="V35:Y35"/>
    <mergeCell ref="G29:H29"/>
    <mergeCell ref="G35:K35"/>
    <mergeCell ref="L35:P35"/>
    <mergeCell ref="Q35:U35"/>
    <mergeCell ref="E36:F38"/>
    <mergeCell ref="V36:Y38"/>
    <mergeCell ref="Z36:AF36"/>
    <mergeCell ref="Z37:AF37"/>
    <mergeCell ref="Z38:AF38"/>
    <mergeCell ref="G36:K38"/>
    <mergeCell ref="L36:P36"/>
    <mergeCell ref="L37:P37"/>
    <mergeCell ref="L38:P38"/>
    <mergeCell ref="Q36:U36"/>
    <mergeCell ref="Q37:U37"/>
    <mergeCell ref="Q38:U38"/>
    <mergeCell ref="E39:F41"/>
    <mergeCell ref="V39:Y41"/>
    <mergeCell ref="Z39:AF39"/>
    <mergeCell ref="Z40:AF40"/>
    <mergeCell ref="Z41:AF41"/>
    <mergeCell ref="G39:K41"/>
    <mergeCell ref="L39:P39"/>
    <mergeCell ref="L40:P40"/>
    <mergeCell ref="L41:P41"/>
    <mergeCell ref="Q39:U39"/>
    <mergeCell ref="Q40:U40"/>
    <mergeCell ref="Q41:U41"/>
    <mergeCell ref="Z43:AF43"/>
    <mergeCell ref="Z44:AF44"/>
    <mergeCell ref="G42:K44"/>
    <mergeCell ref="L42:P42"/>
    <mergeCell ref="L43:P43"/>
    <mergeCell ref="L44:P44"/>
    <mergeCell ref="Q42:U42"/>
    <mergeCell ref="Q43:U43"/>
    <mergeCell ref="Q44:U44"/>
    <mergeCell ref="J4:R4"/>
    <mergeCell ref="J5:R5"/>
    <mergeCell ref="D61:M61"/>
    <mergeCell ref="N61:Q61"/>
    <mergeCell ref="D62:M62"/>
    <mergeCell ref="N62:Q62"/>
    <mergeCell ref="R62:AF62"/>
    <mergeCell ref="R58:AF61"/>
    <mergeCell ref="D58:M58"/>
    <mergeCell ref="N58:Q58"/>
    <mergeCell ref="R57:AF57"/>
    <mergeCell ref="D59:M59"/>
    <mergeCell ref="N59:Q59"/>
    <mergeCell ref="D60:M60"/>
    <mergeCell ref="N60:Q60"/>
    <mergeCell ref="E46:Q46"/>
    <mergeCell ref="R46:U46"/>
    <mergeCell ref="E55:Q55"/>
    <mergeCell ref="R55:U55"/>
    <mergeCell ref="C57:Q57"/>
    <mergeCell ref="E49:AF52"/>
    <mergeCell ref="E42:F44"/>
    <mergeCell ref="V42:Y44"/>
    <mergeCell ref="Z42:AF42"/>
    <mergeCell ref="G9:H9"/>
    <mergeCell ref="G10:H10"/>
    <mergeCell ref="G11:H11"/>
    <mergeCell ref="G12:H12"/>
    <mergeCell ref="G13:H13"/>
    <mergeCell ref="G14:H14"/>
    <mergeCell ref="G15:H15"/>
    <mergeCell ref="G16:H16"/>
    <mergeCell ref="G22:H22"/>
  </mergeCells>
  <conditionalFormatting sqref="U10:X16">
    <cfRule type="colorScale" priority="1">
      <colorScale>
        <cfvo type="num" val="1"/>
        <cfvo type="num" val="9"/>
        <color theme="5" tint="0.79998168889431442"/>
        <color theme="9" tint="0.79998168889431442"/>
      </colorScale>
    </cfRule>
    <cfRule type="colorScale" priority="2">
      <colorScale>
        <cfvo type="num" val="1"/>
        <cfvo type="num" val="9"/>
        <color theme="5" tint="0.39997558519241921"/>
        <color theme="9" tint="0.39997558519241921"/>
      </colorScale>
    </cfRule>
  </conditionalFormatting>
  <printOptions horizontalCentered="1"/>
  <pageMargins left="0.9055118110236221" right="0.70866141732283472" top="0.39370078740157483" bottom="0.31496062992125984" header="0.31496062992125984" footer="0.31496062992125984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'DATA VALIDASI'!$F$2:$F$4</xm:f>
          </x14:formula1>
          <xm:sqref>V36:Y44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196"/>
  <sheetViews>
    <sheetView view="pageBreakPreview" topLeftCell="A197" zoomScaleNormal="115" zoomScaleSheetLayoutView="100" workbookViewId="0">
      <selection activeCell="X48" sqref="X48:Z48"/>
    </sheetView>
  </sheetViews>
  <sheetFormatPr defaultColWidth="8.81640625" defaultRowHeight="16.899999999999999" customHeight="1" x14ac:dyDescent="0.35"/>
  <cols>
    <col min="1" max="1" width="4.1796875" style="1" customWidth="1"/>
    <col min="2" max="10" width="3.7265625" style="1" customWidth="1"/>
    <col min="11" max="11" width="6" style="1" customWidth="1"/>
    <col min="12" max="107" width="3.7265625" style="1" customWidth="1"/>
    <col min="108" max="16384" width="8.81640625" style="1"/>
  </cols>
  <sheetData>
    <row r="1" spans="2:33" ht="16.899999999999999" customHeight="1" thickBot="1" x14ac:dyDescent="0.4"/>
    <row r="2" spans="2:33" ht="16.899999999999999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899999999999999" customHeight="1" x14ac:dyDescent="0.35">
      <c r="B3" s="22"/>
      <c r="C3" s="5"/>
      <c r="D3" s="6"/>
      <c r="E3" s="38" t="s">
        <v>10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899999999999999" customHeight="1" x14ac:dyDescent="0.35">
      <c r="B4" s="22"/>
      <c r="C4" s="8"/>
      <c r="E4" s="104" t="s">
        <v>0</v>
      </c>
      <c r="F4" s="104"/>
      <c r="G4" s="14" t="s">
        <v>11</v>
      </c>
      <c r="H4" s="108" t="s">
        <v>292</v>
      </c>
      <c r="I4" s="108"/>
      <c r="J4" s="108"/>
      <c r="K4" s="108"/>
      <c r="L4" s="108"/>
      <c r="M4" s="108"/>
      <c r="N4" s="108"/>
      <c r="O4" s="108"/>
      <c r="P4" s="108"/>
      <c r="AF4" s="10"/>
      <c r="AG4" s="23"/>
    </row>
    <row r="5" spans="2:33" ht="16.899999999999999" customHeight="1" x14ac:dyDescent="0.35">
      <c r="B5" s="22"/>
      <c r="C5" s="11"/>
      <c r="D5" s="12"/>
      <c r="E5" s="105" t="s">
        <v>1</v>
      </c>
      <c r="F5" s="105"/>
      <c r="G5" s="40" t="s">
        <v>11</v>
      </c>
      <c r="H5" s="109" t="s">
        <v>292</v>
      </c>
      <c r="I5" s="109"/>
      <c r="J5" s="109"/>
      <c r="K5" s="109"/>
      <c r="L5" s="109"/>
      <c r="M5" s="109"/>
      <c r="N5" s="109"/>
      <c r="O5" s="109"/>
      <c r="P5" s="109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899999999999999" customHeight="1" x14ac:dyDescent="0.35">
      <c r="B6" s="22"/>
      <c r="AG6" s="23"/>
    </row>
    <row r="7" spans="2:33" ht="16.899999999999999" customHeight="1" x14ac:dyDescent="0.35">
      <c r="B7" s="22"/>
      <c r="C7" s="14" t="s">
        <v>98</v>
      </c>
      <c r="D7" s="14"/>
      <c r="E7" s="14" t="s">
        <v>125</v>
      </c>
      <c r="AG7" s="24"/>
    </row>
    <row r="8" spans="2:33" ht="16.899999999999999" customHeight="1" thickBot="1" x14ac:dyDescent="0.4">
      <c r="B8" s="22"/>
      <c r="AG8" s="23"/>
    </row>
    <row r="9" spans="2:33" ht="37.15" customHeight="1" thickBot="1" x14ac:dyDescent="0.4">
      <c r="B9" s="22"/>
      <c r="E9" s="189" t="s">
        <v>49</v>
      </c>
      <c r="F9" s="190"/>
      <c r="G9" s="190"/>
      <c r="H9" s="190"/>
      <c r="I9" s="190" t="s">
        <v>54</v>
      </c>
      <c r="J9" s="190"/>
      <c r="K9" s="191"/>
      <c r="L9" s="102" t="s">
        <v>34</v>
      </c>
      <c r="M9" s="102"/>
      <c r="N9" s="102"/>
      <c r="O9" s="102" t="s">
        <v>35</v>
      </c>
      <c r="P9" s="102"/>
      <c r="Q9" s="102"/>
      <c r="R9" s="102" t="s">
        <v>36</v>
      </c>
      <c r="S9" s="102"/>
      <c r="T9" s="102"/>
      <c r="U9" s="102" t="s">
        <v>37</v>
      </c>
      <c r="V9" s="102"/>
      <c r="W9" s="102"/>
      <c r="X9" s="102" t="s">
        <v>38</v>
      </c>
      <c r="Y9" s="102"/>
      <c r="Z9" s="102"/>
      <c r="AA9" s="102" t="s">
        <v>39</v>
      </c>
      <c r="AB9" s="102"/>
      <c r="AC9" s="102"/>
      <c r="AD9" s="102" t="s">
        <v>40</v>
      </c>
      <c r="AE9" s="102"/>
      <c r="AF9" s="103"/>
      <c r="AG9" s="23"/>
    </row>
    <row r="10" spans="2:33" ht="16.899999999999999" customHeight="1" thickBot="1" x14ac:dyDescent="0.4">
      <c r="B10" s="22"/>
      <c r="E10" s="169" t="s">
        <v>32</v>
      </c>
      <c r="F10" s="170"/>
      <c r="G10" s="170"/>
      <c r="H10" s="170"/>
      <c r="I10" s="178" t="s">
        <v>45</v>
      </c>
      <c r="J10" s="178"/>
      <c r="K10" s="178"/>
      <c r="L10" s="79">
        <v>1.3140000000000001</v>
      </c>
      <c r="M10" s="79"/>
      <c r="N10" s="79"/>
      <c r="O10" s="79">
        <v>1.3140000000000001</v>
      </c>
      <c r="P10" s="79"/>
      <c r="Q10" s="79"/>
      <c r="R10" s="79">
        <v>1.3140000000000001</v>
      </c>
      <c r="S10" s="79"/>
      <c r="T10" s="79"/>
      <c r="U10" s="79">
        <v>1.3140000000000001</v>
      </c>
      <c r="V10" s="79"/>
      <c r="W10" s="79"/>
      <c r="X10" s="79">
        <v>1.3140000000000001</v>
      </c>
      <c r="Y10" s="79"/>
      <c r="Z10" s="79"/>
      <c r="AA10" s="79">
        <v>1.3140000000000001</v>
      </c>
      <c r="AB10" s="79"/>
      <c r="AC10" s="79"/>
      <c r="AD10" s="79">
        <v>1.3140000000000001</v>
      </c>
      <c r="AE10" s="79"/>
      <c r="AF10" s="79"/>
      <c r="AG10" s="23"/>
    </row>
    <row r="11" spans="2:33" ht="16.899999999999999" customHeight="1" x14ac:dyDescent="0.35">
      <c r="B11" s="22"/>
      <c r="E11" s="167"/>
      <c r="F11" s="168"/>
      <c r="G11" s="168"/>
      <c r="H11" s="168"/>
      <c r="I11" s="175" t="s">
        <v>46</v>
      </c>
      <c r="J11" s="175"/>
      <c r="K11" s="175"/>
      <c r="L11" s="80">
        <v>1.327</v>
      </c>
      <c r="M11" s="80"/>
      <c r="N11" s="80"/>
      <c r="O11" s="80">
        <v>1.327</v>
      </c>
      <c r="P11" s="80"/>
      <c r="Q11" s="80"/>
      <c r="R11" s="80">
        <v>1.327</v>
      </c>
      <c r="S11" s="80"/>
      <c r="T11" s="80"/>
      <c r="U11" s="79">
        <v>1.327</v>
      </c>
      <c r="V11" s="79"/>
      <c r="W11" s="79"/>
      <c r="X11" s="79">
        <v>1.302</v>
      </c>
      <c r="Y11" s="79"/>
      <c r="Z11" s="79"/>
      <c r="AA11" s="79">
        <v>1.302</v>
      </c>
      <c r="AB11" s="79"/>
      <c r="AC11" s="79"/>
      <c r="AD11" s="79">
        <v>1.327</v>
      </c>
      <c r="AE11" s="79"/>
      <c r="AF11" s="79"/>
      <c r="AG11" s="23"/>
    </row>
    <row r="12" spans="2:33" ht="16.899999999999999" customHeight="1" x14ac:dyDescent="0.35">
      <c r="B12" s="22"/>
      <c r="E12" s="167"/>
      <c r="F12" s="168"/>
      <c r="G12" s="168"/>
      <c r="H12" s="168"/>
      <c r="I12" s="175" t="s">
        <v>41</v>
      </c>
      <c r="J12" s="175"/>
      <c r="K12" s="175"/>
      <c r="L12" s="176">
        <f>IFERROR(((L11-L10)/L10),0)</f>
        <v>9.8934550989344741E-3</v>
      </c>
      <c r="M12" s="176"/>
      <c r="N12" s="176"/>
      <c r="O12" s="176">
        <f t="shared" ref="O12" si="0">IFERROR(((O11-O10)/O10),0)</f>
        <v>9.8934550989344741E-3</v>
      </c>
      <c r="P12" s="176"/>
      <c r="Q12" s="176"/>
      <c r="R12" s="176">
        <f t="shared" ref="R12" si="1">IFERROR(((R11-R10)/R10),0)</f>
        <v>9.8934550989344741E-3</v>
      </c>
      <c r="S12" s="176"/>
      <c r="T12" s="176"/>
      <c r="U12" s="176">
        <f t="shared" ref="U12" si="2">IFERROR(((U11-U10)/U10),0)</f>
        <v>9.8934550989344741E-3</v>
      </c>
      <c r="V12" s="176"/>
      <c r="W12" s="176"/>
      <c r="X12" s="176">
        <f t="shared" ref="X12" si="3">IFERROR(((X11-X10)/X10),0)</f>
        <v>-9.1324200913242091E-3</v>
      </c>
      <c r="Y12" s="176"/>
      <c r="Z12" s="176"/>
      <c r="AA12" s="176">
        <f t="shared" ref="AA12" si="4">IFERROR(((AA11-AA10)/AA10),0)</f>
        <v>-9.1324200913242091E-3</v>
      </c>
      <c r="AB12" s="176"/>
      <c r="AC12" s="176"/>
      <c r="AD12" s="176">
        <f>IFERROR(((AD11-AD10)/AD10),0)</f>
        <v>9.8934550989344741E-3</v>
      </c>
      <c r="AE12" s="176"/>
      <c r="AF12" s="179"/>
      <c r="AG12" s="31">
        <f>COUNTIF(L13:AF13,6)</f>
        <v>0</v>
      </c>
    </row>
    <row r="13" spans="2:33" ht="16.899999999999999" customHeight="1" thickBot="1" x14ac:dyDescent="0.4">
      <c r="B13" s="22"/>
      <c r="E13" s="165"/>
      <c r="F13" s="166"/>
      <c r="G13" s="166"/>
      <c r="H13" s="166"/>
      <c r="I13" s="174" t="s">
        <v>8</v>
      </c>
      <c r="J13" s="174"/>
      <c r="K13" s="174"/>
      <c r="L13" s="127">
        <f>IF((ABS(L12)&lt;=0.1),9,IF((ABS(L12)&lt;=0.2),6,1))</f>
        <v>9</v>
      </c>
      <c r="M13" s="127"/>
      <c r="N13" s="127"/>
      <c r="O13" s="127">
        <f t="shared" ref="O13" si="5">IF((ABS(O12)&lt;=0.1),9,IF((ABS(O12)&lt;=0.2),6,1))</f>
        <v>9</v>
      </c>
      <c r="P13" s="127"/>
      <c r="Q13" s="127"/>
      <c r="R13" s="127">
        <f t="shared" ref="R13" si="6">IF((ABS(R12)&lt;=0.1),9,IF((ABS(R12)&lt;=0.2),6,1))</f>
        <v>9</v>
      </c>
      <c r="S13" s="127"/>
      <c r="T13" s="127"/>
      <c r="U13" s="127">
        <f t="shared" ref="U13" si="7">IF((ABS(U12)&lt;=0.1),9,IF((ABS(U12)&lt;=0.2),6,1))</f>
        <v>9</v>
      </c>
      <c r="V13" s="127"/>
      <c r="W13" s="127"/>
      <c r="X13" s="127">
        <f t="shared" ref="X13" si="8">IF((ABS(X12)&lt;=0.1),9,IF((ABS(X12)&lt;=0.2),6,1))</f>
        <v>9</v>
      </c>
      <c r="Y13" s="127"/>
      <c r="Z13" s="127"/>
      <c r="AA13" s="127">
        <f t="shared" ref="AA13" si="9">IF((ABS(AA12)&lt;=0.1),9,IF((ABS(AA12)&lt;=0.2),6,1))</f>
        <v>9</v>
      </c>
      <c r="AB13" s="127"/>
      <c r="AC13" s="127"/>
      <c r="AD13" s="127">
        <f>IF((ABS(AD12)&lt;=0.1),9,IF((ABS(AD12)&lt;=0.2),6,1))</f>
        <v>9</v>
      </c>
      <c r="AE13" s="127"/>
      <c r="AF13" s="128"/>
      <c r="AG13" s="31">
        <f>COUNTIF(L13:AF13,1)</f>
        <v>0</v>
      </c>
    </row>
    <row r="14" spans="2:33" ht="16.899999999999999" customHeight="1" x14ac:dyDescent="0.35">
      <c r="B14" s="22"/>
      <c r="E14" s="169" t="s">
        <v>33</v>
      </c>
      <c r="F14" s="170"/>
      <c r="G14" s="170"/>
      <c r="H14" s="170"/>
      <c r="I14" s="178" t="s">
        <v>45</v>
      </c>
      <c r="J14" s="178"/>
      <c r="K14" s="178"/>
      <c r="L14" s="79">
        <v>2.6440000000000001</v>
      </c>
      <c r="M14" s="79"/>
      <c r="N14" s="79"/>
      <c r="O14" s="79">
        <v>2.6440000000000001</v>
      </c>
      <c r="P14" s="79"/>
      <c r="Q14" s="79"/>
      <c r="R14" s="79">
        <v>2.6440000000000001</v>
      </c>
      <c r="S14" s="79"/>
      <c r="T14" s="79"/>
      <c r="U14" s="79">
        <v>2.6440000000000001</v>
      </c>
      <c r="V14" s="79"/>
      <c r="W14" s="79"/>
      <c r="X14" s="79">
        <v>2.6440000000000001</v>
      </c>
      <c r="Y14" s="79"/>
      <c r="Z14" s="79"/>
      <c r="AA14" s="79">
        <v>2.6440000000000001</v>
      </c>
      <c r="AB14" s="79"/>
      <c r="AC14" s="79"/>
      <c r="AD14" s="79">
        <v>2.6440000000000001</v>
      </c>
      <c r="AE14" s="79"/>
      <c r="AF14" s="79"/>
      <c r="AG14" s="23"/>
    </row>
    <row r="15" spans="2:33" ht="16.899999999999999" customHeight="1" x14ac:dyDescent="0.35">
      <c r="B15" s="22"/>
      <c r="E15" s="167"/>
      <c r="F15" s="168"/>
      <c r="G15" s="168"/>
      <c r="H15" s="168"/>
      <c r="I15" s="175" t="s">
        <v>46</v>
      </c>
      <c r="J15" s="175"/>
      <c r="K15" s="175"/>
      <c r="L15" s="80">
        <v>2.661</v>
      </c>
      <c r="M15" s="80"/>
      <c r="N15" s="80"/>
      <c r="O15" s="80">
        <v>2.661</v>
      </c>
      <c r="P15" s="80"/>
      <c r="Q15" s="80"/>
      <c r="R15" s="80">
        <v>2.661</v>
      </c>
      <c r="S15" s="80"/>
      <c r="T15" s="80"/>
      <c r="U15" s="80">
        <v>2.661</v>
      </c>
      <c r="V15" s="80"/>
      <c r="W15" s="80"/>
      <c r="X15" s="80">
        <v>2.661</v>
      </c>
      <c r="Y15" s="80"/>
      <c r="Z15" s="80"/>
      <c r="AA15" s="80">
        <v>2.6280000000000001</v>
      </c>
      <c r="AB15" s="80"/>
      <c r="AC15" s="80"/>
      <c r="AD15" s="80">
        <v>2.661</v>
      </c>
      <c r="AE15" s="80"/>
      <c r="AF15" s="80"/>
      <c r="AG15" s="23"/>
    </row>
    <row r="16" spans="2:33" ht="16.899999999999999" customHeight="1" x14ac:dyDescent="0.35">
      <c r="B16" s="22"/>
      <c r="E16" s="167"/>
      <c r="F16" s="168"/>
      <c r="G16" s="168"/>
      <c r="H16" s="168"/>
      <c r="I16" s="175" t="s">
        <v>41</v>
      </c>
      <c r="J16" s="175"/>
      <c r="K16" s="175"/>
      <c r="L16" s="176">
        <f>IFERROR(((L15-L14)/L14),0)</f>
        <v>6.4296520423600236E-3</v>
      </c>
      <c r="M16" s="176"/>
      <c r="N16" s="176"/>
      <c r="O16" s="176">
        <f t="shared" ref="O16" si="10">IFERROR(((O15-O14)/O14),0)</f>
        <v>6.4296520423600236E-3</v>
      </c>
      <c r="P16" s="176"/>
      <c r="Q16" s="176"/>
      <c r="R16" s="176">
        <f t="shared" ref="R16" si="11">IFERROR(((R15-R14)/R14),0)</f>
        <v>6.4296520423600236E-3</v>
      </c>
      <c r="S16" s="176"/>
      <c r="T16" s="176"/>
      <c r="U16" s="176">
        <f t="shared" ref="U16" si="12">IFERROR(((U15-U14)/U14),0)</f>
        <v>6.4296520423600236E-3</v>
      </c>
      <c r="V16" s="176"/>
      <c r="W16" s="176"/>
      <c r="X16" s="176">
        <f t="shared" ref="X16" si="13">IFERROR(((X15-X14)/X14),0)</f>
        <v>6.4296520423600236E-3</v>
      </c>
      <c r="Y16" s="176"/>
      <c r="Z16" s="176"/>
      <c r="AA16" s="176">
        <f t="shared" ref="AA16" si="14">IFERROR(((AA15-AA14)/AA14),0)</f>
        <v>-6.0514372163388858E-3</v>
      </c>
      <c r="AB16" s="176"/>
      <c r="AC16" s="176"/>
      <c r="AD16" s="176">
        <f>IFERROR(((AD15-AD14)/AD14),0)</f>
        <v>6.4296520423600236E-3</v>
      </c>
      <c r="AE16" s="176"/>
      <c r="AF16" s="179"/>
      <c r="AG16" s="31">
        <f>COUNTIF(L17:AF17,6)</f>
        <v>0</v>
      </c>
    </row>
    <row r="17" spans="2:33" ht="16.899999999999999" customHeight="1" thickBot="1" x14ac:dyDescent="0.4">
      <c r="B17" s="22"/>
      <c r="E17" s="165"/>
      <c r="F17" s="166"/>
      <c r="G17" s="166"/>
      <c r="H17" s="166"/>
      <c r="I17" s="174" t="s">
        <v>8</v>
      </c>
      <c r="J17" s="174"/>
      <c r="K17" s="174"/>
      <c r="L17" s="127">
        <f>IF((ABS(L16)&lt;=0.1),9,IF((ABS(L16)&lt;=0.2),6,1))</f>
        <v>9</v>
      </c>
      <c r="M17" s="127"/>
      <c r="N17" s="127"/>
      <c r="O17" s="127">
        <f t="shared" ref="O17" si="15">IF((ABS(O16)&lt;=0.1),9,IF((ABS(O16)&lt;=0.2),6,1))</f>
        <v>9</v>
      </c>
      <c r="P17" s="127"/>
      <c r="Q17" s="127"/>
      <c r="R17" s="127">
        <f t="shared" ref="R17" si="16">IF((ABS(R16)&lt;=0.1),9,IF((ABS(R16)&lt;=0.2),6,1))</f>
        <v>9</v>
      </c>
      <c r="S17" s="127"/>
      <c r="T17" s="127"/>
      <c r="U17" s="127">
        <f t="shared" ref="U17" si="17">IF((ABS(U16)&lt;=0.1),9,IF((ABS(U16)&lt;=0.2),6,1))</f>
        <v>9</v>
      </c>
      <c r="V17" s="127"/>
      <c r="W17" s="127"/>
      <c r="X17" s="127">
        <f t="shared" ref="X17" si="18">IF((ABS(X16)&lt;=0.1),9,IF((ABS(X16)&lt;=0.2),6,1))</f>
        <v>9</v>
      </c>
      <c r="Y17" s="127"/>
      <c r="Z17" s="127"/>
      <c r="AA17" s="127">
        <f t="shared" ref="AA17" si="19">IF((ABS(AA16)&lt;=0.1),9,IF((ABS(AA16)&lt;=0.2),6,1))</f>
        <v>9</v>
      </c>
      <c r="AB17" s="127"/>
      <c r="AC17" s="127"/>
      <c r="AD17" s="127">
        <f>IF((ABS(AD16)&lt;=0.1),9,IF((ABS(AD16)&lt;=0.2),6,1))</f>
        <v>9</v>
      </c>
      <c r="AE17" s="127"/>
      <c r="AF17" s="128"/>
      <c r="AG17" s="31">
        <f>COUNTIF(L17:AF17,1)</f>
        <v>0</v>
      </c>
    </row>
    <row r="18" spans="2:33" ht="16.899999999999999" customHeight="1" x14ac:dyDescent="0.35">
      <c r="B18" s="22"/>
      <c r="E18" s="186" t="s">
        <v>42</v>
      </c>
      <c r="F18" s="186"/>
      <c r="G18" s="186"/>
      <c r="H18" s="186"/>
      <c r="I18" s="185" t="s">
        <v>45</v>
      </c>
      <c r="J18" s="185"/>
      <c r="K18" s="185"/>
      <c r="L18" s="79">
        <v>4.4640000000000004</v>
      </c>
      <c r="M18" s="79"/>
      <c r="N18" s="79"/>
      <c r="O18" s="79">
        <v>4.4640000000000004</v>
      </c>
      <c r="P18" s="79"/>
      <c r="Q18" s="79"/>
      <c r="R18" s="79">
        <v>4.4640000000000004</v>
      </c>
      <c r="S18" s="79"/>
      <c r="T18" s="79"/>
      <c r="U18" s="182">
        <v>4.4640000000000004</v>
      </c>
      <c r="V18" s="183"/>
      <c r="W18" s="184"/>
      <c r="X18" s="182">
        <v>4.4640000000000004</v>
      </c>
      <c r="Y18" s="183"/>
      <c r="Z18" s="184"/>
      <c r="AA18" s="182">
        <v>4.4640000000000004</v>
      </c>
      <c r="AB18" s="183"/>
      <c r="AC18" s="184"/>
      <c r="AD18" s="182">
        <v>4.4640000000000004</v>
      </c>
      <c r="AE18" s="183"/>
      <c r="AF18" s="184"/>
      <c r="AG18" s="23"/>
    </row>
    <row r="19" spans="2:33" ht="16.899999999999999" customHeight="1" x14ac:dyDescent="0.35">
      <c r="B19" s="22"/>
      <c r="E19" s="168"/>
      <c r="F19" s="168"/>
      <c r="G19" s="168"/>
      <c r="H19" s="168"/>
      <c r="I19" s="175" t="s">
        <v>46</v>
      </c>
      <c r="J19" s="175"/>
      <c r="K19" s="175"/>
      <c r="L19" s="80">
        <v>4.4779999999999998</v>
      </c>
      <c r="M19" s="80"/>
      <c r="N19" s="80"/>
      <c r="O19" s="80">
        <v>4.4779999999999998</v>
      </c>
      <c r="P19" s="80"/>
      <c r="Q19" s="80"/>
      <c r="R19" s="80">
        <v>4.4779999999999998</v>
      </c>
      <c r="S19" s="80"/>
      <c r="T19" s="80"/>
      <c r="U19" s="80">
        <v>4.4779999999999998</v>
      </c>
      <c r="V19" s="80"/>
      <c r="W19" s="80"/>
      <c r="X19" s="80">
        <v>4.4779999999999998</v>
      </c>
      <c r="Y19" s="80"/>
      <c r="Z19" s="80"/>
      <c r="AA19" s="80">
        <v>4.45</v>
      </c>
      <c r="AB19" s="80"/>
      <c r="AC19" s="80"/>
      <c r="AD19" s="80">
        <v>4.4779999999999998</v>
      </c>
      <c r="AE19" s="80"/>
      <c r="AF19" s="80"/>
      <c r="AG19" s="23"/>
    </row>
    <row r="20" spans="2:33" ht="16.899999999999999" customHeight="1" x14ac:dyDescent="0.35">
      <c r="B20" s="22"/>
      <c r="E20" s="168"/>
      <c r="F20" s="168"/>
      <c r="G20" s="168"/>
      <c r="H20" s="168"/>
      <c r="I20" s="175" t="s">
        <v>41</v>
      </c>
      <c r="J20" s="175"/>
      <c r="K20" s="175"/>
      <c r="L20" s="176">
        <f>IFERROR(((L19-L18)/L18),0)</f>
        <v>3.1362007168457312E-3</v>
      </c>
      <c r="M20" s="176"/>
      <c r="N20" s="176"/>
      <c r="O20" s="176">
        <f t="shared" ref="O20" si="20">IFERROR(((O19-O18)/O18),0)</f>
        <v>3.1362007168457312E-3</v>
      </c>
      <c r="P20" s="176"/>
      <c r="Q20" s="176"/>
      <c r="R20" s="176">
        <f t="shared" ref="R20" si="21">IFERROR(((R19-R18)/R18),0)</f>
        <v>3.1362007168457312E-3</v>
      </c>
      <c r="S20" s="176"/>
      <c r="T20" s="176"/>
      <c r="U20" s="176">
        <f t="shared" ref="U20" si="22">IFERROR(((U19-U18)/U18),0)</f>
        <v>3.1362007168457312E-3</v>
      </c>
      <c r="V20" s="176"/>
      <c r="W20" s="176"/>
      <c r="X20" s="176">
        <f t="shared" ref="X20" si="23">IFERROR(((X19-X18)/X18),0)</f>
        <v>3.1362007168457312E-3</v>
      </c>
      <c r="Y20" s="176"/>
      <c r="Z20" s="176"/>
      <c r="AA20" s="176">
        <f t="shared" ref="AA20" si="24">IFERROR(((AA19-AA18)/AA18),0)</f>
        <v>-3.1362007168459303E-3</v>
      </c>
      <c r="AB20" s="176"/>
      <c r="AC20" s="176"/>
      <c r="AD20" s="176">
        <f>IFERROR(((AD19-AD18)/AD18),0)</f>
        <v>3.1362007168457312E-3</v>
      </c>
      <c r="AE20" s="176"/>
      <c r="AF20" s="176"/>
      <c r="AG20" s="31">
        <f>COUNTIF(L21:AF21,6)</f>
        <v>0</v>
      </c>
    </row>
    <row r="21" spans="2:33" ht="16.899999999999999" customHeight="1" x14ac:dyDescent="0.35">
      <c r="B21" s="22"/>
      <c r="E21" s="168"/>
      <c r="F21" s="168"/>
      <c r="G21" s="168"/>
      <c r="H21" s="168"/>
      <c r="I21" s="175" t="s">
        <v>8</v>
      </c>
      <c r="J21" s="175"/>
      <c r="K21" s="175"/>
      <c r="L21" s="125">
        <f>IF((ABS(L20)&lt;=0.1),9,IF((ABS(L20)&lt;=0.2),6,1))</f>
        <v>9</v>
      </c>
      <c r="M21" s="125"/>
      <c r="N21" s="125"/>
      <c r="O21" s="125">
        <f t="shared" ref="O21" si="25">IF((ABS(O20)&lt;=0.1),9,IF((ABS(O20)&lt;=0.2),6,1))</f>
        <v>9</v>
      </c>
      <c r="P21" s="125"/>
      <c r="Q21" s="125"/>
      <c r="R21" s="125">
        <f t="shared" ref="R21" si="26">IF((ABS(R20)&lt;=0.1),9,IF((ABS(R20)&lt;=0.2),6,1))</f>
        <v>9</v>
      </c>
      <c r="S21" s="125"/>
      <c r="T21" s="125"/>
      <c r="U21" s="125">
        <f t="shared" ref="U21" si="27">IF((ABS(U20)&lt;=0.1),9,IF((ABS(U20)&lt;=0.2),6,1))</f>
        <v>9</v>
      </c>
      <c r="V21" s="125"/>
      <c r="W21" s="125"/>
      <c r="X21" s="125">
        <f t="shared" ref="X21" si="28">IF((ABS(X20)&lt;=0.1),9,IF((ABS(X20)&lt;=0.2),6,1))</f>
        <v>9</v>
      </c>
      <c r="Y21" s="125"/>
      <c r="Z21" s="125"/>
      <c r="AA21" s="125">
        <f t="shared" ref="AA21" si="29">IF((ABS(AA20)&lt;=0.1),9,IF((ABS(AA20)&lt;=0.2),6,1))</f>
        <v>9</v>
      </c>
      <c r="AB21" s="125"/>
      <c r="AC21" s="125"/>
      <c r="AD21" s="125">
        <f>IF((ABS(AD20)&lt;=0.1),9,IF((ABS(AD20)&lt;=0.2),6,1))</f>
        <v>9</v>
      </c>
      <c r="AE21" s="125"/>
      <c r="AF21" s="125"/>
      <c r="AG21" s="31">
        <f>COUNTIF(L21:AF21,1)</f>
        <v>0</v>
      </c>
    </row>
    <row r="22" spans="2:33" ht="16.899999999999999" customHeight="1" x14ac:dyDescent="0.35">
      <c r="B22" s="2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G22" s="23"/>
    </row>
    <row r="23" spans="2:33" ht="16.899999999999999" customHeight="1" x14ac:dyDescent="0.35">
      <c r="B23" s="22"/>
      <c r="E23" s="67" t="s">
        <v>43</v>
      </c>
      <c r="F23" s="67"/>
      <c r="G23" s="67"/>
      <c r="H23" s="67"/>
      <c r="I23" s="67"/>
      <c r="J23" s="67"/>
      <c r="K23" s="67"/>
      <c r="L23" s="67"/>
      <c r="M23" s="67"/>
      <c r="N23" s="67"/>
      <c r="O23" s="124"/>
      <c r="P23" s="91">
        <f>MIN(L13:AF13,L17:AF17,L21:AF21)</f>
        <v>9</v>
      </c>
      <c r="Q23" s="91"/>
      <c r="R23" s="91"/>
      <c r="S23" s="91"/>
      <c r="AG23" s="23"/>
    </row>
    <row r="24" spans="2:33" ht="16.899999999999999" customHeight="1" x14ac:dyDescent="0.35">
      <c r="B24" s="22"/>
      <c r="AG24" s="23"/>
    </row>
    <row r="25" spans="2:33" ht="16.899999999999999" customHeight="1" x14ac:dyDescent="0.35">
      <c r="B25" s="22"/>
      <c r="C25" s="14" t="s">
        <v>99</v>
      </c>
      <c r="D25" s="14"/>
      <c r="E25" s="14" t="s">
        <v>126</v>
      </c>
      <c r="AG25" s="23"/>
    </row>
    <row r="26" spans="2:33" ht="16.899999999999999" customHeight="1" thickBot="1" x14ac:dyDescent="0.4">
      <c r="B26" s="22"/>
      <c r="AG26" s="23"/>
    </row>
    <row r="27" spans="2:33" ht="37.15" customHeight="1" thickBot="1" x14ac:dyDescent="0.4">
      <c r="B27" s="22"/>
      <c r="E27" s="140" t="s">
        <v>49</v>
      </c>
      <c r="F27" s="141"/>
      <c r="G27" s="141"/>
      <c r="H27" s="141"/>
      <c r="I27" s="141" t="s">
        <v>54</v>
      </c>
      <c r="J27" s="141"/>
      <c r="K27" s="141"/>
      <c r="L27" s="102" t="s">
        <v>34</v>
      </c>
      <c r="M27" s="102"/>
      <c r="N27" s="102"/>
      <c r="O27" s="102" t="s">
        <v>35</v>
      </c>
      <c r="P27" s="102"/>
      <c r="Q27" s="102"/>
      <c r="R27" s="102" t="s">
        <v>36</v>
      </c>
      <c r="S27" s="102"/>
      <c r="T27" s="102"/>
      <c r="U27" s="102" t="s">
        <v>37</v>
      </c>
      <c r="V27" s="102"/>
      <c r="W27" s="102"/>
      <c r="X27" s="102" t="s">
        <v>38</v>
      </c>
      <c r="Y27" s="102"/>
      <c r="Z27" s="102"/>
      <c r="AA27" s="102" t="s">
        <v>39</v>
      </c>
      <c r="AB27" s="102"/>
      <c r="AC27" s="102"/>
      <c r="AD27" s="102" t="s">
        <v>40</v>
      </c>
      <c r="AE27" s="102"/>
      <c r="AF27" s="103"/>
      <c r="AG27" s="23"/>
    </row>
    <row r="28" spans="2:33" ht="16.899999999999999" customHeight="1" x14ac:dyDescent="0.35">
      <c r="B28" s="22"/>
      <c r="E28" s="169" t="s">
        <v>32</v>
      </c>
      <c r="F28" s="170"/>
      <c r="G28" s="170"/>
      <c r="H28" s="170"/>
      <c r="I28" s="178" t="s">
        <v>262</v>
      </c>
      <c r="J28" s="178"/>
      <c r="K28" s="178"/>
      <c r="L28" s="79">
        <v>0</v>
      </c>
      <c r="M28" s="79"/>
      <c r="N28" s="79"/>
      <c r="O28" s="79">
        <v>0</v>
      </c>
      <c r="P28" s="79"/>
      <c r="Q28" s="79"/>
      <c r="R28" s="79">
        <v>0</v>
      </c>
      <c r="S28" s="79"/>
      <c r="T28" s="79"/>
      <c r="U28" s="79">
        <v>0</v>
      </c>
      <c r="V28" s="79"/>
      <c r="W28" s="79"/>
      <c r="X28" s="79">
        <v>0</v>
      </c>
      <c r="Y28" s="79"/>
      <c r="Z28" s="79"/>
      <c r="AA28" s="79">
        <v>0</v>
      </c>
      <c r="AB28" s="79"/>
      <c r="AC28" s="79"/>
      <c r="AD28" s="79">
        <v>0</v>
      </c>
      <c r="AE28" s="79"/>
      <c r="AF28" s="82"/>
      <c r="AG28" s="23"/>
    </row>
    <row r="29" spans="2:33" ht="16.899999999999999" customHeight="1" x14ac:dyDescent="0.35">
      <c r="B29" s="22"/>
      <c r="E29" s="167"/>
      <c r="F29" s="168"/>
      <c r="G29" s="168"/>
      <c r="H29" s="168"/>
      <c r="I29" s="175" t="s">
        <v>263</v>
      </c>
      <c r="J29" s="175"/>
      <c r="K29" s="175"/>
      <c r="L29" s="80">
        <v>1.6500000000000001E-2</v>
      </c>
      <c r="M29" s="80"/>
      <c r="N29" s="80"/>
      <c r="O29" s="80">
        <v>1.8100000000000002E-2</v>
      </c>
      <c r="P29" s="80"/>
      <c r="Q29" s="80"/>
      <c r="R29" s="80">
        <v>1.41E-2</v>
      </c>
      <c r="S29" s="80"/>
      <c r="T29" s="80"/>
      <c r="U29" s="80">
        <v>1.7399999999999999E-2</v>
      </c>
      <c r="V29" s="80"/>
      <c r="W29" s="80"/>
      <c r="X29" s="80">
        <v>1.61E-2</v>
      </c>
      <c r="Y29" s="80"/>
      <c r="Z29" s="80"/>
      <c r="AA29" s="80">
        <v>1.8100000000000002E-2</v>
      </c>
      <c r="AB29" s="80"/>
      <c r="AC29" s="80"/>
      <c r="AD29" s="80">
        <v>1.6500000000000001E-2</v>
      </c>
      <c r="AE29" s="80"/>
      <c r="AF29" s="181"/>
      <c r="AG29" s="23"/>
    </row>
    <row r="30" spans="2:33" ht="16.899999999999999" customHeight="1" x14ac:dyDescent="0.35">
      <c r="B30" s="22"/>
      <c r="E30" s="167"/>
      <c r="F30" s="168"/>
      <c r="G30" s="168"/>
      <c r="H30" s="168"/>
      <c r="I30" s="175" t="s">
        <v>41</v>
      </c>
      <c r="J30" s="175"/>
      <c r="K30" s="175"/>
      <c r="L30" s="176">
        <f>ABS(L29-L28)</f>
        <v>1.6500000000000001E-2</v>
      </c>
      <c r="M30" s="176"/>
      <c r="N30" s="176"/>
      <c r="O30" s="176">
        <f t="shared" ref="O30" si="30">ABS(O29-O28)</f>
        <v>1.8100000000000002E-2</v>
      </c>
      <c r="P30" s="176"/>
      <c r="Q30" s="176"/>
      <c r="R30" s="176">
        <f t="shared" ref="R30" si="31">ABS(R29-R28)</f>
        <v>1.41E-2</v>
      </c>
      <c r="S30" s="176"/>
      <c r="T30" s="176"/>
      <c r="U30" s="176">
        <f t="shared" ref="U30" si="32">ABS(U29-U28)</f>
        <v>1.7399999999999999E-2</v>
      </c>
      <c r="V30" s="176"/>
      <c r="W30" s="176"/>
      <c r="X30" s="176">
        <f t="shared" ref="X30" si="33">ABS(X29-X28)</f>
        <v>1.61E-2</v>
      </c>
      <c r="Y30" s="176"/>
      <c r="Z30" s="176"/>
      <c r="AA30" s="176">
        <f t="shared" ref="AA30" si="34">ABS(AA29-AA28)</f>
        <v>1.8100000000000002E-2</v>
      </c>
      <c r="AB30" s="176"/>
      <c r="AC30" s="176"/>
      <c r="AD30" s="176">
        <f>ABS(AD29-AD28)</f>
        <v>1.6500000000000001E-2</v>
      </c>
      <c r="AE30" s="176"/>
      <c r="AF30" s="179"/>
      <c r="AG30" s="31">
        <f>COUNTIF(L31:AF31,6)</f>
        <v>0</v>
      </c>
    </row>
    <row r="31" spans="2:33" ht="16.899999999999999" customHeight="1" thickBot="1" x14ac:dyDescent="0.4">
      <c r="B31" s="22"/>
      <c r="E31" s="165"/>
      <c r="F31" s="166"/>
      <c r="G31" s="166"/>
      <c r="H31" s="166"/>
      <c r="I31" s="174" t="s">
        <v>8</v>
      </c>
      <c r="J31" s="174"/>
      <c r="K31" s="174"/>
      <c r="L31" s="127">
        <f>IF((ABS(L30)&lt;=0.05),9,IF((ABS(L30)&lt;=0.1),6,1))</f>
        <v>9</v>
      </c>
      <c r="M31" s="127"/>
      <c r="N31" s="127"/>
      <c r="O31" s="127">
        <f t="shared" ref="O31" si="35">IF((ABS(O30)&lt;=0.05),9,IF((ABS(O30)&lt;=0.1),6,1))</f>
        <v>9</v>
      </c>
      <c r="P31" s="127"/>
      <c r="Q31" s="127"/>
      <c r="R31" s="127">
        <f t="shared" ref="R31" si="36">IF((ABS(R30)&lt;=0.05),9,IF((ABS(R30)&lt;=0.1),6,1))</f>
        <v>9</v>
      </c>
      <c r="S31" s="127"/>
      <c r="T31" s="127"/>
      <c r="U31" s="127">
        <f t="shared" ref="U31" si="37">IF((ABS(U30)&lt;=0.05),9,IF((ABS(U30)&lt;=0.1),6,1))</f>
        <v>9</v>
      </c>
      <c r="V31" s="127"/>
      <c r="W31" s="127"/>
      <c r="X31" s="127">
        <f t="shared" ref="X31" si="38">IF((ABS(X30)&lt;=0.05),9,IF((ABS(X30)&lt;=0.1),6,1))</f>
        <v>9</v>
      </c>
      <c r="Y31" s="127"/>
      <c r="Z31" s="127"/>
      <c r="AA31" s="127">
        <f t="shared" ref="AA31" si="39">IF((ABS(AA30)&lt;=0.05),9,IF((ABS(AA30)&lt;=0.1),6,1))</f>
        <v>9</v>
      </c>
      <c r="AB31" s="127"/>
      <c r="AC31" s="127"/>
      <c r="AD31" s="127">
        <f>IF((ABS(AD30)&lt;=0.05),9,IF((ABS(AD30)&lt;=0.1),6,1))</f>
        <v>9</v>
      </c>
      <c r="AE31" s="127"/>
      <c r="AF31" s="128"/>
      <c r="AG31" s="31">
        <f>COUNTIF(L31:AF31,1)</f>
        <v>0</v>
      </c>
    </row>
    <row r="32" spans="2:33" ht="16.899999999999999" customHeight="1" x14ac:dyDescent="0.35">
      <c r="B32" s="22"/>
      <c r="E32" s="169" t="s">
        <v>33</v>
      </c>
      <c r="F32" s="170"/>
      <c r="G32" s="170"/>
      <c r="H32" s="170"/>
      <c r="I32" s="178" t="s">
        <v>262</v>
      </c>
      <c r="J32" s="178"/>
      <c r="K32" s="178"/>
      <c r="L32" s="79">
        <v>0.4</v>
      </c>
      <c r="M32" s="79"/>
      <c r="N32" s="79"/>
      <c r="O32" s="79">
        <v>0.4</v>
      </c>
      <c r="P32" s="79"/>
      <c r="Q32" s="79"/>
      <c r="R32" s="79">
        <v>0.4</v>
      </c>
      <c r="S32" s="79"/>
      <c r="T32" s="79"/>
      <c r="U32" s="79">
        <v>0.4</v>
      </c>
      <c r="V32" s="79"/>
      <c r="W32" s="79"/>
      <c r="X32" s="79">
        <v>0.4</v>
      </c>
      <c r="Y32" s="79"/>
      <c r="Z32" s="79"/>
      <c r="AA32" s="79">
        <v>0.4</v>
      </c>
      <c r="AB32" s="79"/>
      <c r="AC32" s="79"/>
      <c r="AD32" s="79">
        <v>0.4</v>
      </c>
      <c r="AE32" s="79"/>
      <c r="AF32" s="82"/>
      <c r="AG32" s="31"/>
    </row>
    <row r="33" spans="2:33" ht="16.899999999999999" customHeight="1" x14ac:dyDescent="0.35">
      <c r="B33" s="22"/>
      <c r="E33" s="167"/>
      <c r="F33" s="168"/>
      <c r="G33" s="168"/>
      <c r="H33" s="168"/>
      <c r="I33" s="175" t="s">
        <v>263</v>
      </c>
      <c r="J33" s="175"/>
      <c r="K33" s="175"/>
      <c r="L33" s="80">
        <v>0.41299999999999998</v>
      </c>
      <c r="M33" s="80"/>
      <c r="N33" s="80"/>
      <c r="O33" s="80">
        <v>0.41399999999999998</v>
      </c>
      <c r="P33" s="80"/>
      <c r="Q33" s="80"/>
      <c r="R33" s="80">
        <v>0.41799999999999998</v>
      </c>
      <c r="S33" s="80"/>
      <c r="T33" s="80"/>
      <c r="U33" s="80">
        <v>0.41699999999999998</v>
      </c>
      <c r="V33" s="80"/>
      <c r="W33" s="80"/>
      <c r="X33" s="80">
        <v>0.41499999999999998</v>
      </c>
      <c r="Y33" s="80"/>
      <c r="Z33" s="80"/>
      <c r="AA33" s="80">
        <v>0.42099999999999999</v>
      </c>
      <c r="AB33" s="80"/>
      <c r="AC33" s="80"/>
      <c r="AD33" s="80">
        <v>0.41899999999999998</v>
      </c>
      <c r="AE33" s="80"/>
      <c r="AF33" s="181"/>
      <c r="AG33" s="31"/>
    </row>
    <row r="34" spans="2:33" ht="16.899999999999999" customHeight="1" x14ac:dyDescent="0.35">
      <c r="B34" s="22"/>
      <c r="E34" s="167"/>
      <c r="F34" s="168"/>
      <c r="G34" s="168"/>
      <c r="H34" s="168"/>
      <c r="I34" s="175" t="s">
        <v>41</v>
      </c>
      <c r="J34" s="175"/>
      <c r="K34" s="175"/>
      <c r="L34" s="176">
        <f>ABS(L33-L32)</f>
        <v>1.2999999999999956E-2</v>
      </c>
      <c r="M34" s="176"/>
      <c r="N34" s="176"/>
      <c r="O34" s="176">
        <f t="shared" ref="O34" si="40">ABS(O33-O32)</f>
        <v>1.3999999999999957E-2</v>
      </c>
      <c r="P34" s="176"/>
      <c r="Q34" s="176"/>
      <c r="R34" s="176">
        <f t="shared" ref="R34" si="41">ABS(R33-R32)</f>
        <v>1.799999999999996E-2</v>
      </c>
      <c r="S34" s="176"/>
      <c r="T34" s="176"/>
      <c r="U34" s="176">
        <f t="shared" ref="U34" si="42">ABS(U33-U32)</f>
        <v>1.699999999999996E-2</v>
      </c>
      <c r="V34" s="176"/>
      <c r="W34" s="176"/>
      <c r="X34" s="176">
        <f t="shared" ref="X34" si="43">ABS(X33-X32)</f>
        <v>1.4999999999999958E-2</v>
      </c>
      <c r="Y34" s="176"/>
      <c r="Z34" s="176"/>
      <c r="AA34" s="176">
        <f t="shared" ref="AA34" si="44">ABS(AA33-AA32)</f>
        <v>2.0999999999999963E-2</v>
      </c>
      <c r="AB34" s="176"/>
      <c r="AC34" s="176"/>
      <c r="AD34" s="176">
        <f>ABS(AD33-AD32)</f>
        <v>1.8999999999999961E-2</v>
      </c>
      <c r="AE34" s="176"/>
      <c r="AF34" s="179"/>
      <c r="AG34" s="31">
        <f>COUNTIF(L35:AF35,6)</f>
        <v>0</v>
      </c>
    </row>
    <row r="35" spans="2:33" ht="16.899999999999999" customHeight="1" thickBot="1" x14ac:dyDescent="0.4">
      <c r="B35" s="22"/>
      <c r="E35" s="165"/>
      <c r="F35" s="166"/>
      <c r="G35" s="166"/>
      <c r="H35" s="166"/>
      <c r="I35" s="174" t="s">
        <v>8</v>
      </c>
      <c r="J35" s="174"/>
      <c r="K35" s="174"/>
      <c r="L35" s="127">
        <f>IF((ABS(L34)&lt;=0.05),9,IF((ABS(L34)&lt;=0.1),6,1))</f>
        <v>9</v>
      </c>
      <c r="M35" s="127"/>
      <c r="N35" s="127"/>
      <c r="O35" s="127">
        <f t="shared" ref="O35" si="45">IF((ABS(O34)&lt;=0.05),9,IF((ABS(O34)&lt;=0.1),6,1))</f>
        <v>9</v>
      </c>
      <c r="P35" s="127"/>
      <c r="Q35" s="127"/>
      <c r="R35" s="127">
        <f t="shared" ref="R35" si="46">IF((ABS(R34)&lt;=0.05),9,IF((ABS(R34)&lt;=0.1),6,1))</f>
        <v>9</v>
      </c>
      <c r="S35" s="127"/>
      <c r="T35" s="127"/>
      <c r="U35" s="127">
        <f t="shared" ref="U35" si="47">IF((ABS(U34)&lt;=0.05),9,IF((ABS(U34)&lt;=0.1),6,1))</f>
        <v>9</v>
      </c>
      <c r="V35" s="127"/>
      <c r="W35" s="127"/>
      <c r="X35" s="127">
        <f t="shared" ref="X35" si="48">IF((ABS(X34)&lt;=0.05),9,IF((ABS(X34)&lt;=0.1),6,1))</f>
        <v>9</v>
      </c>
      <c r="Y35" s="127"/>
      <c r="Z35" s="127"/>
      <c r="AA35" s="127">
        <f t="shared" ref="AA35" si="49">IF((ABS(AA34)&lt;=0.05),9,IF((ABS(AA34)&lt;=0.1),6,1))</f>
        <v>9</v>
      </c>
      <c r="AB35" s="127"/>
      <c r="AC35" s="127"/>
      <c r="AD35" s="127">
        <f t="shared" ref="AD35" si="50">IF((ABS(AD34)&lt;=0.05),9,IF((ABS(AD34)&lt;=0.1),6,1))</f>
        <v>9</v>
      </c>
      <c r="AE35" s="127"/>
      <c r="AF35" s="128"/>
      <c r="AG35" s="31">
        <f>COUNTIF(L35:AF35,1)</f>
        <v>0</v>
      </c>
    </row>
    <row r="36" spans="2:33" ht="16.899999999999999" customHeight="1" x14ac:dyDescent="0.35">
      <c r="B36" s="22"/>
      <c r="E36" s="169" t="s">
        <v>42</v>
      </c>
      <c r="F36" s="170"/>
      <c r="G36" s="170"/>
      <c r="H36" s="170"/>
      <c r="I36" s="178" t="s">
        <v>262</v>
      </c>
      <c r="J36" s="178"/>
      <c r="K36" s="178"/>
      <c r="L36" s="79">
        <v>1.6</v>
      </c>
      <c r="M36" s="79"/>
      <c r="N36" s="79"/>
      <c r="O36" s="79">
        <v>1.6</v>
      </c>
      <c r="P36" s="79"/>
      <c r="Q36" s="79"/>
      <c r="R36" s="79">
        <v>1.6</v>
      </c>
      <c r="S36" s="79"/>
      <c r="T36" s="79"/>
      <c r="U36" s="79">
        <v>1.6</v>
      </c>
      <c r="V36" s="79"/>
      <c r="W36" s="79"/>
      <c r="X36" s="79">
        <v>1.6</v>
      </c>
      <c r="Y36" s="79"/>
      <c r="Z36" s="79"/>
      <c r="AA36" s="79">
        <v>1.6</v>
      </c>
      <c r="AB36" s="79"/>
      <c r="AC36" s="79"/>
      <c r="AD36" s="79">
        <v>1.6</v>
      </c>
      <c r="AE36" s="79"/>
      <c r="AF36" s="82"/>
      <c r="AG36" s="31"/>
    </row>
    <row r="37" spans="2:33" ht="16.899999999999999" customHeight="1" x14ac:dyDescent="0.35">
      <c r="B37" s="22"/>
      <c r="E37" s="167"/>
      <c r="F37" s="168"/>
      <c r="G37" s="168"/>
      <c r="H37" s="168"/>
      <c r="I37" s="175" t="s">
        <v>263</v>
      </c>
      <c r="J37" s="175"/>
      <c r="K37" s="175"/>
      <c r="L37" s="80">
        <v>1.6180000000000001</v>
      </c>
      <c r="M37" s="80"/>
      <c r="N37" s="80"/>
      <c r="O37" s="80">
        <v>1.615</v>
      </c>
      <c r="P37" s="80"/>
      <c r="Q37" s="80"/>
      <c r="R37" s="80">
        <v>1.6160000000000001</v>
      </c>
      <c r="S37" s="80"/>
      <c r="T37" s="80"/>
      <c r="U37" s="80">
        <v>1.6339999999999999</v>
      </c>
      <c r="V37" s="80"/>
      <c r="W37" s="80"/>
      <c r="X37" s="80">
        <v>1.6160000000000001</v>
      </c>
      <c r="Y37" s="80"/>
      <c r="Z37" s="80"/>
      <c r="AA37" s="80">
        <v>1.639</v>
      </c>
      <c r="AB37" s="80"/>
      <c r="AC37" s="80"/>
      <c r="AD37" s="80">
        <v>1.6359999999999999</v>
      </c>
      <c r="AE37" s="80"/>
      <c r="AF37" s="181"/>
      <c r="AG37" s="31"/>
    </row>
    <row r="38" spans="2:33" ht="16.899999999999999" customHeight="1" x14ac:dyDescent="0.35">
      <c r="B38" s="22"/>
      <c r="E38" s="167"/>
      <c r="F38" s="168"/>
      <c r="G38" s="168"/>
      <c r="H38" s="168"/>
      <c r="I38" s="175" t="s">
        <v>41</v>
      </c>
      <c r="J38" s="175"/>
      <c r="K38" s="175"/>
      <c r="L38" s="176">
        <f>IFERROR(((L37-L36)/L36),0)</f>
        <v>1.125000000000001E-2</v>
      </c>
      <c r="M38" s="176"/>
      <c r="N38" s="176"/>
      <c r="O38" s="176">
        <f t="shared" ref="O38" si="51">IFERROR(((O37-O36)/O36),0)</f>
        <v>9.3749999999999389E-3</v>
      </c>
      <c r="P38" s="176"/>
      <c r="Q38" s="176"/>
      <c r="R38" s="176">
        <f t="shared" ref="R38" si="52">IFERROR(((R37-R36)/R36),0)</f>
        <v>1.0000000000000009E-2</v>
      </c>
      <c r="S38" s="176"/>
      <c r="T38" s="176"/>
      <c r="U38" s="176">
        <f t="shared" ref="U38" si="53">IFERROR(((U37-U36)/U36),0)</f>
        <v>2.124999999999988E-2</v>
      </c>
      <c r="V38" s="176"/>
      <c r="W38" s="176"/>
      <c r="X38" s="176">
        <f t="shared" ref="X38" si="54">IFERROR(((X37-X36)/X36),0)</f>
        <v>1.0000000000000009E-2</v>
      </c>
      <c r="Y38" s="176"/>
      <c r="Z38" s="176"/>
      <c r="AA38" s="176">
        <f t="shared" ref="AA38" si="55">IFERROR(((AA37-AA36)/AA36),0)</f>
        <v>2.4374999999999952E-2</v>
      </c>
      <c r="AB38" s="176"/>
      <c r="AC38" s="176"/>
      <c r="AD38" s="176">
        <f>IFERROR(((AD37-AD36)/AD36),0)</f>
        <v>2.2499999999999881E-2</v>
      </c>
      <c r="AE38" s="176"/>
      <c r="AF38" s="179"/>
      <c r="AG38" s="31">
        <f>COUNTIF(L39:AF39,6)</f>
        <v>0</v>
      </c>
    </row>
    <row r="39" spans="2:33" ht="16.899999999999999" customHeight="1" thickBot="1" x14ac:dyDescent="0.4">
      <c r="B39" s="22"/>
      <c r="E39" s="165"/>
      <c r="F39" s="166"/>
      <c r="G39" s="166"/>
      <c r="H39" s="166"/>
      <c r="I39" s="174" t="s">
        <v>8</v>
      </c>
      <c r="J39" s="174"/>
      <c r="K39" s="174"/>
      <c r="L39" s="127">
        <f>IF((ABS(L38)&lt;=0.05),9,IF((ABS(L38)&lt;=0.1),6,1))</f>
        <v>9</v>
      </c>
      <c r="M39" s="127"/>
      <c r="N39" s="127"/>
      <c r="O39" s="127">
        <f t="shared" ref="O39" si="56">IF((ABS(O38)&lt;=0.05),9,IF((ABS(O38)&lt;=0.1),6,1))</f>
        <v>9</v>
      </c>
      <c r="P39" s="127"/>
      <c r="Q39" s="127"/>
      <c r="R39" s="127">
        <f t="shared" ref="R39" si="57">IF((ABS(R38)&lt;=0.05),9,IF((ABS(R38)&lt;=0.1),6,1))</f>
        <v>9</v>
      </c>
      <c r="S39" s="127"/>
      <c r="T39" s="127"/>
      <c r="U39" s="127">
        <f t="shared" ref="U39" si="58">IF((ABS(U38)&lt;=0.05),9,IF((ABS(U38)&lt;=0.1),6,1))</f>
        <v>9</v>
      </c>
      <c r="V39" s="127"/>
      <c r="W39" s="127"/>
      <c r="X39" s="127">
        <f t="shared" ref="X39" si="59">IF((ABS(X38)&lt;=0.05),9,IF((ABS(X38)&lt;=0.1),6,1))</f>
        <v>9</v>
      </c>
      <c r="Y39" s="127"/>
      <c r="Z39" s="127"/>
      <c r="AA39" s="127">
        <f t="shared" ref="AA39" si="60">IF((ABS(AA38)&lt;=0.05),9,IF((ABS(AA38)&lt;=0.1),6,1))</f>
        <v>9</v>
      </c>
      <c r="AB39" s="127"/>
      <c r="AC39" s="127"/>
      <c r="AD39" s="127">
        <f t="shared" ref="AD39" si="61">IF((ABS(AD38)&lt;=0.05),9,IF((ABS(AD38)&lt;=0.1),6,1))</f>
        <v>9</v>
      </c>
      <c r="AE39" s="127"/>
      <c r="AF39" s="128"/>
      <c r="AG39" s="31">
        <f>COUNTIF(L39:AF39,1)</f>
        <v>0</v>
      </c>
    </row>
    <row r="40" spans="2:33" ht="16.899999999999999" customHeight="1" x14ac:dyDescent="0.35">
      <c r="B40" s="22"/>
      <c r="AG40" s="23"/>
    </row>
    <row r="41" spans="2:33" ht="16.899999999999999" customHeight="1" x14ac:dyDescent="0.35">
      <c r="B41" s="22"/>
      <c r="E41" s="67" t="s">
        <v>13</v>
      </c>
      <c r="F41" s="67"/>
      <c r="G41" s="67"/>
      <c r="H41" s="67"/>
      <c r="I41" s="67"/>
      <c r="J41" s="67"/>
      <c r="K41" s="67"/>
      <c r="L41" s="67"/>
      <c r="M41" s="67"/>
      <c r="N41" s="67"/>
      <c r="O41" s="124"/>
      <c r="P41" s="91">
        <f>MIN(L31:AF31,L35:AF35,L39:AF39)</f>
        <v>9</v>
      </c>
      <c r="Q41" s="91"/>
      <c r="R41" s="91"/>
      <c r="S41" s="91"/>
      <c r="AG41" s="23"/>
    </row>
    <row r="42" spans="2:33" ht="16.899999999999999" customHeight="1" x14ac:dyDescent="0.35">
      <c r="B42" s="22"/>
      <c r="AG42" s="23"/>
    </row>
    <row r="43" spans="2:33" ht="16.899999999999999" customHeight="1" x14ac:dyDescent="0.35">
      <c r="B43" s="22"/>
      <c r="C43" s="14" t="s">
        <v>100</v>
      </c>
      <c r="D43" s="14"/>
      <c r="E43" s="14" t="s">
        <v>127</v>
      </c>
      <c r="AG43" s="23"/>
    </row>
    <row r="44" spans="2:33" ht="16.899999999999999" customHeight="1" thickBot="1" x14ac:dyDescent="0.4">
      <c r="B44" s="22"/>
      <c r="AG44" s="23"/>
    </row>
    <row r="45" spans="2:33" ht="25.15" customHeight="1" x14ac:dyDescent="0.35">
      <c r="B45" s="22"/>
      <c r="E45" s="152" t="s">
        <v>49</v>
      </c>
      <c r="F45" s="153"/>
      <c r="G45" s="153"/>
      <c r="H45" s="153"/>
      <c r="I45" s="153" t="s">
        <v>54</v>
      </c>
      <c r="J45" s="153"/>
      <c r="K45" s="153"/>
      <c r="L45" s="136" t="s">
        <v>290</v>
      </c>
      <c r="M45" s="136"/>
      <c r="N45" s="136"/>
      <c r="O45" s="136"/>
      <c r="P45" s="136"/>
      <c r="Q45" s="136"/>
      <c r="R45" s="136"/>
      <c r="S45" s="136"/>
      <c r="T45" s="136"/>
      <c r="U45" s="136" t="s">
        <v>291</v>
      </c>
      <c r="V45" s="136"/>
      <c r="W45" s="136"/>
      <c r="X45" s="136"/>
      <c r="Y45" s="136"/>
      <c r="Z45" s="136"/>
      <c r="AA45" s="136"/>
      <c r="AB45" s="136"/>
      <c r="AC45" s="137"/>
      <c r="AG45" s="23"/>
    </row>
    <row r="46" spans="2:33" s="4" customFormat="1" ht="25.15" customHeight="1" thickBot="1" x14ac:dyDescent="0.4">
      <c r="B46" s="25"/>
      <c r="E46" s="138"/>
      <c r="F46" s="134"/>
      <c r="G46" s="134"/>
      <c r="H46" s="134"/>
      <c r="I46" s="134"/>
      <c r="J46" s="134"/>
      <c r="K46" s="134"/>
      <c r="L46" s="133" t="s">
        <v>34</v>
      </c>
      <c r="M46" s="133"/>
      <c r="N46" s="133"/>
      <c r="O46" s="133" t="s">
        <v>35</v>
      </c>
      <c r="P46" s="133"/>
      <c r="Q46" s="133"/>
      <c r="R46" s="133" t="s">
        <v>36</v>
      </c>
      <c r="S46" s="133"/>
      <c r="T46" s="133"/>
      <c r="U46" s="133" t="s">
        <v>34</v>
      </c>
      <c r="V46" s="133"/>
      <c r="W46" s="133"/>
      <c r="X46" s="133" t="s">
        <v>35</v>
      </c>
      <c r="Y46" s="133"/>
      <c r="Z46" s="133"/>
      <c r="AA46" s="133" t="s">
        <v>36</v>
      </c>
      <c r="AB46" s="133"/>
      <c r="AC46" s="180"/>
      <c r="AD46" s="3"/>
      <c r="AE46" s="3"/>
      <c r="AF46" s="3"/>
      <c r="AG46" s="26"/>
    </row>
    <row r="47" spans="2:33" ht="16.899999999999999" customHeight="1" thickBot="1" x14ac:dyDescent="0.4">
      <c r="B47" s="22"/>
      <c r="E47" s="169" t="s">
        <v>32</v>
      </c>
      <c r="F47" s="170"/>
      <c r="G47" s="170"/>
      <c r="H47" s="170"/>
      <c r="I47" s="178" t="s">
        <v>45</v>
      </c>
      <c r="J47" s="178"/>
      <c r="K47" s="178"/>
      <c r="L47" s="79">
        <v>21.04</v>
      </c>
      <c r="M47" s="79"/>
      <c r="N47" s="79"/>
      <c r="O47" s="79">
        <v>21.04</v>
      </c>
      <c r="P47" s="79"/>
      <c r="Q47" s="79"/>
      <c r="R47" s="79">
        <v>21.04</v>
      </c>
      <c r="S47" s="79"/>
      <c r="T47" s="79"/>
      <c r="U47" s="79">
        <v>1.3069999999999999</v>
      </c>
      <c r="V47" s="79"/>
      <c r="W47" s="79"/>
      <c r="X47" s="79">
        <v>1.3069999999999999</v>
      </c>
      <c r="Y47" s="79"/>
      <c r="Z47" s="79"/>
      <c r="AA47" s="79">
        <v>1.3069999999999999</v>
      </c>
      <c r="AB47" s="79"/>
      <c r="AC47" s="79"/>
      <c r="AD47" s="3"/>
      <c r="AE47" s="3"/>
      <c r="AF47" s="3"/>
      <c r="AG47" s="23"/>
    </row>
    <row r="48" spans="2:33" ht="16.899999999999999" customHeight="1" x14ac:dyDescent="0.35">
      <c r="B48" s="22"/>
      <c r="E48" s="167"/>
      <c r="F48" s="168"/>
      <c r="G48" s="168"/>
      <c r="H48" s="168"/>
      <c r="I48" s="175" t="s">
        <v>46</v>
      </c>
      <c r="J48" s="175"/>
      <c r="K48" s="175"/>
      <c r="L48" s="79">
        <v>21.04</v>
      </c>
      <c r="M48" s="79"/>
      <c r="N48" s="79"/>
      <c r="O48" s="79">
        <v>21.04</v>
      </c>
      <c r="P48" s="79"/>
      <c r="Q48" s="79"/>
      <c r="R48" s="79">
        <v>21.04</v>
      </c>
      <c r="S48" s="79"/>
      <c r="T48" s="79"/>
      <c r="U48" s="80">
        <v>1.32</v>
      </c>
      <c r="V48" s="80"/>
      <c r="W48" s="80"/>
      <c r="X48" s="80">
        <v>1.32</v>
      </c>
      <c r="Y48" s="80"/>
      <c r="Z48" s="80"/>
      <c r="AA48" s="80">
        <v>1.32</v>
      </c>
      <c r="AB48" s="80"/>
      <c r="AC48" s="80"/>
      <c r="AD48" s="3"/>
      <c r="AE48" s="3"/>
      <c r="AF48" s="3"/>
      <c r="AG48" s="23"/>
    </row>
    <row r="49" spans="2:33" ht="16.899999999999999" customHeight="1" x14ac:dyDescent="0.35">
      <c r="B49" s="22"/>
      <c r="E49" s="167"/>
      <c r="F49" s="168"/>
      <c r="G49" s="168"/>
      <c r="H49" s="168"/>
      <c r="I49" s="175" t="s">
        <v>41</v>
      </c>
      <c r="J49" s="175"/>
      <c r="K49" s="175"/>
      <c r="L49" s="176">
        <f>IFERROR(((L48-L47)/L47),0)</f>
        <v>0</v>
      </c>
      <c r="M49" s="176"/>
      <c r="N49" s="176"/>
      <c r="O49" s="176">
        <f t="shared" ref="O49" si="62">IFERROR(((O48-O47)/O47),0)</f>
        <v>0</v>
      </c>
      <c r="P49" s="176"/>
      <c r="Q49" s="176"/>
      <c r="R49" s="176">
        <f t="shared" ref="R49" si="63">IFERROR(((R48-R47)/R47),0)</f>
        <v>0</v>
      </c>
      <c r="S49" s="176"/>
      <c r="T49" s="176"/>
      <c r="U49" s="176">
        <f t="shared" ref="U49" si="64">IFERROR(((U48-U47)/U47),0)</f>
        <v>9.9464422341240429E-3</v>
      </c>
      <c r="V49" s="176"/>
      <c r="W49" s="176"/>
      <c r="X49" s="176">
        <f t="shared" ref="X49" si="65">IFERROR(((X48-X47)/X47),0)</f>
        <v>9.9464422341240429E-3</v>
      </c>
      <c r="Y49" s="176"/>
      <c r="Z49" s="176"/>
      <c r="AA49" s="176">
        <f>IFERROR(((AA48-AA47)/AA47),0)</f>
        <v>9.9464422341240429E-3</v>
      </c>
      <c r="AB49" s="176"/>
      <c r="AC49" s="179"/>
      <c r="AD49" s="32">
        <f>COUNTIF(L50:AC50,6)</f>
        <v>0</v>
      </c>
      <c r="AE49" s="3"/>
      <c r="AF49" s="3"/>
      <c r="AG49" s="23"/>
    </row>
    <row r="50" spans="2:33" ht="16.899999999999999" customHeight="1" thickBot="1" x14ac:dyDescent="0.4">
      <c r="B50" s="22"/>
      <c r="E50" s="165"/>
      <c r="F50" s="166"/>
      <c r="G50" s="166"/>
      <c r="H50" s="166"/>
      <c r="I50" s="174" t="s">
        <v>8</v>
      </c>
      <c r="J50" s="174"/>
      <c r="K50" s="174"/>
      <c r="L50" s="127">
        <f>IF((ABS(L49)&lt;=0.1),9,IF((ABS(L49)&lt;=0.2),6,1))</f>
        <v>9</v>
      </c>
      <c r="M50" s="127"/>
      <c r="N50" s="127"/>
      <c r="O50" s="127">
        <f t="shared" ref="O50" si="66">IF((ABS(O49)&lt;=0.1),9,IF((ABS(O49)&lt;=0.2),6,1))</f>
        <v>9</v>
      </c>
      <c r="P50" s="127"/>
      <c r="Q50" s="127"/>
      <c r="R50" s="127">
        <f t="shared" ref="R50" si="67">IF((ABS(R49)&lt;=0.1),9,IF((ABS(R49)&lt;=0.2),6,1))</f>
        <v>9</v>
      </c>
      <c r="S50" s="127"/>
      <c r="T50" s="127"/>
      <c r="U50" s="127">
        <f t="shared" ref="U50" si="68">IF((ABS(U49)&lt;=0.1),9,IF((ABS(U49)&lt;=0.2),6,1))</f>
        <v>9</v>
      </c>
      <c r="V50" s="127"/>
      <c r="W50" s="127"/>
      <c r="X50" s="127">
        <f t="shared" ref="X50" si="69">IF((ABS(X49)&lt;=0.1),9,IF((ABS(X49)&lt;=0.2),6,1))</f>
        <v>9</v>
      </c>
      <c r="Y50" s="127"/>
      <c r="Z50" s="127"/>
      <c r="AA50" s="127">
        <f t="shared" ref="AA50" si="70">IF((ABS(AA49)&lt;=0.1),9,IF((ABS(AA49)&lt;=0.2),6,1))</f>
        <v>9</v>
      </c>
      <c r="AB50" s="127"/>
      <c r="AC50" s="128"/>
      <c r="AD50" s="32">
        <f>COUNTIF(L50:AC50,1)</f>
        <v>0</v>
      </c>
      <c r="AE50" s="3"/>
      <c r="AF50" s="3"/>
      <c r="AG50" s="23"/>
    </row>
    <row r="51" spans="2:33" ht="16.899999999999999" customHeight="1" thickBot="1" x14ac:dyDescent="0.4">
      <c r="B51" s="22"/>
      <c r="E51" s="169" t="s">
        <v>33</v>
      </c>
      <c r="F51" s="170"/>
      <c r="G51" s="170"/>
      <c r="H51" s="170"/>
      <c r="I51" s="178" t="s">
        <v>45</v>
      </c>
      <c r="J51" s="178"/>
      <c r="K51" s="178"/>
      <c r="L51" s="79">
        <v>23.38</v>
      </c>
      <c r="M51" s="79"/>
      <c r="N51" s="79"/>
      <c r="O51" s="79">
        <v>23.38</v>
      </c>
      <c r="P51" s="79"/>
      <c r="Q51" s="79"/>
      <c r="R51" s="79">
        <v>23.38</v>
      </c>
      <c r="S51" s="79"/>
      <c r="T51" s="79"/>
      <c r="U51" s="79">
        <v>2.63</v>
      </c>
      <c r="V51" s="79"/>
      <c r="W51" s="79"/>
      <c r="X51" s="79">
        <v>2.63</v>
      </c>
      <c r="Y51" s="79"/>
      <c r="Z51" s="79"/>
      <c r="AA51" s="79">
        <v>2.63</v>
      </c>
      <c r="AB51" s="79"/>
      <c r="AC51" s="79"/>
      <c r="AD51" s="3"/>
      <c r="AE51" s="3"/>
      <c r="AF51" s="3"/>
      <c r="AG51" s="23"/>
    </row>
    <row r="52" spans="2:33" ht="16.899999999999999" customHeight="1" x14ac:dyDescent="0.35">
      <c r="B52" s="22"/>
      <c r="E52" s="167"/>
      <c r="F52" s="168"/>
      <c r="G52" s="168"/>
      <c r="H52" s="168"/>
      <c r="I52" s="175" t="s">
        <v>46</v>
      </c>
      <c r="J52" s="175"/>
      <c r="K52" s="175"/>
      <c r="L52" s="79">
        <v>23.31</v>
      </c>
      <c r="M52" s="79"/>
      <c r="N52" s="79"/>
      <c r="O52" s="79">
        <v>23.31</v>
      </c>
      <c r="P52" s="79"/>
      <c r="Q52" s="79"/>
      <c r="R52" s="79">
        <v>23.31</v>
      </c>
      <c r="S52" s="79"/>
      <c r="T52" s="79"/>
      <c r="U52" s="80">
        <v>2.6469999999999998</v>
      </c>
      <c r="V52" s="80"/>
      <c r="W52" s="80"/>
      <c r="X52" s="80">
        <v>2.6469999999999998</v>
      </c>
      <c r="Y52" s="80"/>
      <c r="Z52" s="80"/>
      <c r="AA52" s="80">
        <v>2.6469999999999998</v>
      </c>
      <c r="AB52" s="80"/>
      <c r="AC52" s="80"/>
      <c r="AD52" s="3"/>
      <c r="AE52" s="3"/>
      <c r="AF52" s="3"/>
      <c r="AG52" s="23"/>
    </row>
    <row r="53" spans="2:33" ht="16.899999999999999" customHeight="1" x14ac:dyDescent="0.35">
      <c r="B53" s="22"/>
      <c r="E53" s="167"/>
      <c r="F53" s="168"/>
      <c r="G53" s="168"/>
      <c r="H53" s="168"/>
      <c r="I53" s="175" t="s">
        <v>41</v>
      </c>
      <c r="J53" s="175"/>
      <c r="K53" s="175"/>
      <c r="L53" s="176">
        <f>IFERROR(((L52-L51)/L51),0)</f>
        <v>-2.9940119760479165E-3</v>
      </c>
      <c r="M53" s="176"/>
      <c r="N53" s="176"/>
      <c r="O53" s="176">
        <f t="shared" ref="O53" si="71">IFERROR(((O52-O51)/O51),0)</f>
        <v>-2.9940119760479165E-3</v>
      </c>
      <c r="P53" s="176"/>
      <c r="Q53" s="176"/>
      <c r="R53" s="176">
        <f t="shared" ref="R53" si="72">IFERROR(((R52-R51)/R51),0)</f>
        <v>-2.9940119760479165E-3</v>
      </c>
      <c r="S53" s="176"/>
      <c r="T53" s="176"/>
      <c r="U53" s="176">
        <f t="shared" ref="U53" si="73">IFERROR(((U52-U51)/U51),0)</f>
        <v>6.4638783269961612E-3</v>
      </c>
      <c r="V53" s="176"/>
      <c r="W53" s="176"/>
      <c r="X53" s="176">
        <f t="shared" ref="X53" si="74">IFERROR(((X52-X51)/X51),0)</f>
        <v>6.4638783269961612E-3</v>
      </c>
      <c r="Y53" s="176"/>
      <c r="Z53" s="176"/>
      <c r="AA53" s="176">
        <f>IFERROR(((AA52-AA51)/AA51),0)</f>
        <v>6.4638783269961612E-3</v>
      </c>
      <c r="AB53" s="176"/>
      <c r="AC53" s="179"/>
      <c r="AD53" s="32">
        <f>COUNTIF(L54:AC54,6)</f>
        <v>0</v>
      </c>
      <c r="AE53" s="15"/>
      <c r="AF53" s="15"/>
      <c r="AG53" s="23"/>
    </row>
    <row r="54" spans="2:33" ht="16.899999999999999" customHeight="1" thickBot="1" x14ac:dyDescent="0.4">
      <c r="B54" s="22"/>
      <c r="E54" s="165"/>
      <c r="F54" s="166"/>
      <c r="G54" s="166"/>
      <c r="H54" s="166"/>
      <c r="I54" s="174" t="s">
        <v>8</v>
      </c>
      <c r="J54" s="174"/>
      <c r="K54" s="174"/>
      <c r="L54" s="127">
        <f t="shared" ref="L54" si="75">IF((ABS(L53)&lt;=0.1),9,IF((ABS(L53)&lt;=0.2),6,1))</f>
        <v>9</v>
      </c>
      <c r="M54" s="127"/>
      <c r="N54" s="127"/>
      <c r="O54" s="127">
        <f t="shared" ref="O54" si="76">IF((ABS(O53)&lt;=0.1),9,IF((ABS(O53)&lt;=0.2),6,1))</f>
        <v>9</v>
      </c>
      <c r="P54" s="127"/>
      <c r="Q54" s="127"/>
      <c r="R54" s="127">
        <f t="shared" ref="R54" si="77">IF((ABS(R53)&lt;=0.1),9,IF((ABS(R53)&lt;=0.2),6,1))</f>
        <v>9</v>
      </c>
      <c r="S54" s="127"/>
      <c r="T54" s="127"/>
      <c r="U54" s="127">
        <f t="shared" ref="U54" si="78">IF((ABS(U53)&lt;=0.1),9,IF((ABS(U53)&lt;=0.2),6,1))</f>
        <v>9</v>
      </c>
      <c r="V54" s="127"/>
      <c r="W54" s="127"/>
      <c r="X54" s="127">
        <f t="shared" ref="X54" si="79">IF((ABS(X53)&lt;=0.1),9,IF((ABS(X53)&lt;=0.2),6,1))</f>
        <v>9</v>
      </c>
      <c r="Y54" s="127"/>
      <c r="Z54" s="127"/>
      <c r="AA54" s="127">
        <f>IF((ABS(AA53)&lt;=0.1),9,IF((ABS(AA53)&lt;=0.2),6,1))</f>
        <v>9</v>
      </c>
      <c r="AB54" s="127"/>
      <c r="AC54" s="128"/>
      <c r="AD54" s="32">
        <f>COUNTIF(L54:AC54,1)</f>
        <v>0</v>
      </c>
      <c r="AE54" s="3"/>
      <c r="AF54" s="3"/>
      <c r="AG54" s="23"/>
    </row>
    <row r="55" spans="2:33" ht="16.899999999999999" customHeight="1" thickBot="1" x14ac:dyDescent="0.4">
      <c r="B55" s="22"/>
      <c r="E55" s="169" t="s">
        <v>42</v>
      </c>
      <c r="F55" s="170"/>
      <c r="G55" s="170"/>
      <c r="H55" s="170"/>
      <c r="I55" s="178" t="s">
        <v>45</v>
      </c>
      <c r="J55" s="178"/>
      <c r="K55" s="178"/>
      <c r="L55" s="79">
        <v>25.98</v>
      </c>
      <c r="M55" s="79"/>
      <c r="N55" s="79"/>
      <c r="O55" s="79">
        <v>25.98</v>
      </c>
      <c r="P55" s="79"/>
      <c r="Q55" s="79"/>
      <c r="R55" s="79">
        <v>25.98</v>
      </c>
      <c r="S55" s="79"/>
      <c r="T55" s="79"/>
      <c r="U55" s="79">
        <v>4.4400000000000004</v>
      </c>
      <c r="V55" s="79"/>
      <c r="W55" s="79"/>
      <c r="X55" s="79">
        <v>4.4400000000000004</v>
      </c>
      <c r="Y55" s="79"/>
      <c r="Z55" s="79"/>
      <c r="AA55" s="79">
        <v>4.4400000000000004</v>
      </c>
      <c r="AB55" s="79"/>
      <c r="AC55" s="79"/>
      <c r="AD55" s="3"/>
      <c r="AE55" s="3"/>
      <c r="AF55" s="3"/>
      <c r="AG55" s="23"/>
    </row>
    <row r="56" spans="2:33" ht="16.899999999999999" customHeight="1" x14ac:dyDescent="0.35">
      <c r="B56" s="22"/>
      <c r="E56" s="167"/>
      <c r="F56" s="168"/>
      <c r="G56" s="168"/>
      <c r="H56" s="168"/>
      <c r="I56" s="175" t="s">
        <v>46</v>
      </c>
      <c r="J56" s="175"/>
      <c r="K56" s="175"/>
      <c r="L56" s="79">
        <v>25.87</v>
      </c>
      <c r="M56" s="79"/>
      <c r="N56" s="79"/>
      <c r="O56" s="79">
        <v>25.87</v>
      </c>
      <c r="P56" s="79"/>
      <c r="Q56" s="79"/>
      <c r="R56" s="79">
        <v>25.87</v>
      </c>
      <c r="S56" s="79"/>
      <c r="T56" s="79"/>
      <c r="U56" s="80">
        <v>4.4260000000000002</v>
      </c>
      <c r="V56" s="80"/>
      <c r="W56" s="80"/>
      <c r="X56" s="80">
        <v>4.4539999999999997</v>
      </c>
      <c r="Y56" s="80"/>
      <c r="Z56" s="80"/>
      <c r="AA56" s="80">
        <v>4.4539999999999997</v>
      </c>
      <c r="AB56" s="80"/>
      <c r="AC56" s="80"/>
      <c r="AD56" s="3"/>
      <c r="AE56" s="3"/>
      <c r="AF56" s="3"/>
      <c r="AG56" s="23"/>
    </row>
    <row r="57" spans="2:33" ht="16.899999999999999" customHeight="1" x14ac:dyDescent="0.35">
      <c r="B57" s="22"/>
      <c r="E57" s="167"/>
      <c r="F57" s="168"/>
      <c r="G57" s="168"/>
      <c r="H57" s="168"/>
      <c r="I57" s="175" t="s">
        <v>41</v>
      </c>
      <c r="J57" s="175"/>
      <c r="K57" s="175"/>
      <c r="L57" s="176">
        <f>IFERROR(((L56-L55)/L55),0)</f>
        <v>-4.2340261739799625E-3</v>
      </c>
      <c r="M57" s="176"/>
      <c r="N57" s="176"/>
      <c r="O57" s="176">
        <f t="shared" ref="O57" si="80">IFERROR(((O56-O55)/O55),0)</f>
        <v>-4.2340261739799625E-3</v>
      </c>
      <c r="P57" s="176"/>
      <c r="Q57" s="176"/>
      <c r="R57" s="176">
        <f t="shared" ref="R57" si="81">IFERROR(((R56-R55)/R55),0)</f>
        <v>-4.2340261739799625E-3</v>
      </c>
      <c r="S57" s="176"/>
      <c r="T57" s="176"/>
      <c r="U57" s="176">
        <f t="shared" ref="U57" si="82">IFERROR(((U56-U55)/U55),0)</f>
        <v>-3.1531531531532055E-3</v>
      </c>
      <c r="V57" s="176"/>
      <c r="W57" s="176"/>
      <c r="X57" s="176">
        <f t="shared" ref="X57" si="83">IFERROR(((X56-X55)/X55),0)</f>
        <v>3.1531531531530056E-3</v>
      </c>
      <c r="Y57" s="176"/>
      <c r="Z57" s="176"/>
      <c r="AA57" s="176">
        <f>IFERROR(((AA56-AA55)/AA55),0)</f>
        <v>3.1531531531530056E-3</v>
      </c>
      <c r="AB57" s="176"/>
      <c r="AC57" s="179"/>
      <c r="AD57" s="32">
        <f>COUNTIF(L58:AC58,6)</f>
        <v>0</v>
      </c>
      <c r="AE57" s="15"/>
      <c r="AF57" s="15"/>
      <c r="AG57" s="23"/>
    </row>
    <row r="58" spans="2:33" ht="16.899999999999999" customHeight="1" thickBot="1" x14ac:dyDescent="0.4">
      <c r="B58" s="22"/>
      <c r="E58" s="165"/>
      <c r="F58" s="166"/>
      <c r="G58" s="166"/>
      <c r="H58" s="166"/>
      <c r="I58" s="174" t="s">
        <v>8</v>
      </c>
      <c r="J58" s="174"/>
      <c r="K58" s="174"/>
      <c r="L58" s="127">
        <f>IF((ABS(L57)&lt;=0.1),9,IF((ABS(L57)&lt;=0.2),6,1))</f>
        <v>9</v>
      </c>
      <c r="M58" s="127"/>
      <c r="N58" s="127"/>
      <c r="O58" s="127">
        <f t="shared" ref="O58" si="84">IF((ABS(O57)&lt;=0.1),9,IF((ABS(O57)&lt;=0.2),6,1))</f>
        <v>9</v>
      </c>
      <c r="P58" s="127"/>
      <c r="Q58" s="127"/>
      <c r="R58" s="127">
        <f t="shared" ref="R58" si="85">IF((ABS(R57)&lt;=0.1),9,IF((ABS(R57)&lt;=0.2),6,1))</f>
        <v>9</v>
      </c>
      <c r="S58" s="127"/>
      <c r="T58" s="127"/>
      <c r="U58" s="127">
        <f t="shared" ref="U58" si="86">IF((ABS(U57)&lt;=0.1),9,IF((ABS(U57)&lt;=0.2),6,1))</f>
        <v>9</v>
      </c>
      <c r="V58" s="127"/>
      <c r="W58" s="127"/>
      <c r="X58" s="127">
        <f t="shared" ref="X58" si="87">IF((ABS(X57)&lt;=0.1),9,IF((ABS(X57)&lt;=0.2),6,1))</f>
        <v>9</v>
      </c>
      <c r="Y58" s="127"/>
      <c r="Z58" s="127"/>
      <c r="AA58" s="127">
        <f>IF((ABS(AA57)&lt;=0.1),9,IF((ABS(AA57)&lt;=0.2),6,1))</f>
        <v>9</v>
      </c>
      <c r="AB58" s="127"/>
      <c r="AC58" s="128"/>
      <c r="AD58" s="32">
        <f>COUNTIF(L58:AC58,1)</f>
        <v>0</v>
      </c>
      <c r="AE58" s="3"/>
      <c r="AF58" s="3"/>
      <c r="AG58" s="23"/>
    </row>
    <row r="59" spans="2:33" ht="16.899999999999999" customHeight="1" x14ac:dyDescent="0.35">
      <c r="B59" s="22"/>
      <c r="AG59" s="23"/>
    </row>
    <row r="60" spans="2:33" ht="36.65" customHeight="1" x14ac:dyDescent="0.35">
      <c r="B60" s="22"/>
      <c r="E60" s="99" t="s">
        <v>47</v>
      </c>
      <c r="F60" s="99"/>
      <c r="G60" s="99"/>
      <c r="H60" s="99"/>
      <c r="I60" s="99"/>
      <c r="J60" s="99"/>
      <c r="K60" s="99"/>
      <c r="L60" s="99"/>
      <c r="M60" s="99"/>
      <c r="N60" s="99"/>
      <c r="O60" s="192"/>
      <c r="P60" s="91">
        <f>MIN(L50:AC50,L54:AC54,L58:AC58)</f>
        <v>9</v>
      </c>
      <c r="Q60" s="91"/>
      <c r="R60" s="91"/>
      <c r="S60" s="91"/>
      <c r="AG60" s="23"/>
    </row>
    <row r="61" spans="2:33" ht="16.899999999999999" customHeight="1" x14ac:dyDescent="0.35">
      <c r="B61" s="22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"/>
      <c r="Q61" s="2"/>
      <c r="R61" s="2"/>
      <c r="S61" s="2"/>
      <c r="AG61" s="23"/>
    </row>
    <row r="62" spans="2:33" ht="16.899999999999999" customHeight="1" x14ac:dyDescent="0.35">
      <c r="B62" s="22"/>
      <c r="C62" s="14" t="s">
        <v>101</v>
      </c>
      <c r="D62" s="14"/>
      <c r="E62" s="14" t="s">
        <v>284</v>
      </c>
      <c r="G62" s="16"/>
      <c r="H62" s="16"/>
      <c r="I62" s="16"/>
      <c r="J62" s="16"/>
      <c r="K62" s="16"/>
      <c r="L62" s="16"/>
      <c r="M62" s="16"/>
      <c r="N62" s="16"/>
      <c r="O62" s="16"/>
      <c r="P62" s="2"/>
      <c r="Q62" s="2"/>
      <c r="R62" s="2"/>
      <c r="S62" s="2"/>
      <c r="AG62" s="23"/>
    </row>
    <row r="63" spans="2:33" ht="16.899999999999999" customHeight="1" x14ac:dyDescent="0.35">
      <c r="B63" s="22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"/>
      <c r="Q63" s="2"/>
      <c r="R63" s="2"/>
      <c r="S63" s="2"/>
      <c r="AG63" s="23"/>
    </row>
    <row r="64" spans="2:33" ht="16.899999999999999" customHeight="1" x14ac:dyDescent="0.35">
      <c r="B64" s="22"/>
      <c r="E64" s="171" t="s">
        <v>49</v>
      </c>
      <c r="F64" s="171"/>
      <c r="G64" s="171"/>
      <c r="H64" s="53" t="s">
        <v>119</v>
      </c>
      <c r="I64" s="53"/>
      <c r="J64" s="53"/>
      <c r="K64" s="53"/>
      <c r="L64" s="53"/>
      <c r="M64" s="53"/>
      <c r="N64" s="53"/>
      <c r="O64" s="53"/>
      <c r="P64" s="53"/>
      <c r="Q64" s="53" t="s">
        <v>264</v>
      </c>
      <c r="R64" s="53"/>
      <c r="S64" s="53"/>
      <c r="T64" s="53"/>
      <c r="U64" s="53"/>
      <c r="V64" s="53"/>
      <c r="W64" s="53"/>
      <c r="X64" s="53"/>
      <c r="Y64" s="53"/>
      <c r="Z64" s="67" t="s">
        <v>8</v>
      </c>
      <c r="AA64" s="67"/>
      <c r="AB64" s="67"/>
      <c r="AC64" s="53" t="s">
        <v>6</v>
      </c>
      <c r="AD64" s="53"/>
      <c r="AE64" s="53"/>
      <c r="AF64" s="53"/>
      <c r="AG64" s="23"/>
    </row>
    <row r="65" spans="2:33" ht="16.899999999999999" customHeight="1" thickBot="1" x14ac:dyDescent="0.4">
      <c r="B65" s="22"/>
      <c r="E65" s="172"/>
      <c r="F65" s="172"/>
      <c r="G65" s="172"/>
      <c r="H65" s="173" t="s">
        <v>44</v>
      </c>
      <c r="I65" s="173"/>
      <c r="J65" s="173"/>
      <c r="K65" s="173" t="s">
        <v>51</v>
      </c>
      <c r="L65" s="173"/>
      <c r="M65" s="173"/>
      <c r="N65" s="177" t="s">
        <v>52</v>
      </c>
      <c r="O65" s="177"/>
      <c r="P65" s="177"/>
      <c r="Q65" s="173" t="s">
        <v>44</v>
      </c>
      <c r="R65" s="173"/>
      <c r="S65" s="173"/>
      <c r="T65" s="173" t="s">
        <v>51</v>
      </c>
      <c r="U65" s="173"/>
      <c r="V65" s="173"/>
      <c r="W65" s="177" t="s">
        <v>52</v>
      </c>
      <c r="X65" s="177"/>
      <c r="Y65" s="177"/>
      <c r="Z65" s="177"/>
      <c r="AA65" s="177"/>
      <c r="AB65" s="177"/>
      <c r="AC65" s="173"/>
      <c r="AD65" s="173"/>
      <c r="AE65" s="173"/>
      <c r="AF65" s="173"/>
      <c r="AG65" s="23"/>
    </row>
    <row r="66" spans="2:33" ht="16.899999999999999" customHeight="1" x14ac:dyDescent="0.35">
      <c r="B66" s="22"/>
      <c r="E66" s="169" t="s">
        <v>34</v>
      </c>
      <c r="F66" s="170"/>
      <c r="G66" s="170"/>
      <c r="H66" s="118"/>
      <c r="I66" s="118"/>
      <c r="J66" s="118"/>
      <c r="K66" s="118"/>
      <c r="L66" s="118"/>
      <c r="M66" s="118"/>
      <c r="N66" s="151">
        <f>IFERROR((K66-H66)/H66,0)</f>
        <v>0</v>
      </c>
      <c r="O66" s="151"/>
      <c r="P66" s="151"/>
      <c r="Q66" s="118"/>
      <c r="R66" s="118"/>
      <c r="S66" s="118"/>
      <c r="T66" s="118"/>
      <c r="U66" s="118"/>
      <c r="V66" s="118"/>
      <c r="W66" s="151">
        <f>ABS(T66-Q66)</f>
        <v>0</v>
      </c>
      <c r="X66" s="151"/>
      <c r="Y66" s="151"/>
      <c r="Z66" s="114">
        <f>IF(AND((ABS(N66)&lt;=0.05),(ABS(W66)&lt;=0.05)),9,IF(AND((ABS(N66)&lt;=0.1),(ABS(W66)&lt;=0.1)),6,1))</f>
        <v>9</v>
      </c>
      <c r="AA66" s="114"/>
      <c r="AB66" s="114"/>
      <c r="AC66" s="118"/>
      <c r="AD66" s="118"/>
      <c r="AE66" s="118"/>
      <c r="AF66" s="119"/>
      <c r="AG66" s="23"/>
    </row>
    <row r="67" spans="2:33" ht="16.899999999999999" customHeight="1" x14ac:dyDescent="0.35">
      <c r="B67" s="22"/>
      <c r="E67" s="167" t="s">
        <v>35</v>
      </c>
      <c r="F67" s="168"/>
      <c r="G67" s="168"/>
      <c r="H67" s="51"/>
      <c r="I67" s="51"/>
      <c r="J67" s="51"/>
      <c r="K67" s="51"/>
      <c r="L67" s="51"/>
      <c r="M67" s="51"/>
      <c r="N67" s="110">
        <f t="shared" ref="N67" si="88">IFERROR((K67-H67)/H67,0)</f>
        <v>0</v>
      </c>
      <c r="O67" s="110"/>
      <c r="P67" s="110"/>
      <c r="Q67" s="51"/>
      <c r="R67" s="51"/>
      <c r="S67" s="51"/>
      <c r="T67" s="51"/>
      <c r="U67" s="51"/>
      <c r="V67" s="51"/>
      <c r="W67" s="110">
        <f t="shared" ref="W67" si="89">ABS(T67-Q67)</f>
        <v>0</v>
      </c>
      <c r="X67" s="110"/>
      <c r="Y67" s="110"/>
      <c r="Z67" s="91">
        <f>IF(AND((ABS(N67)&lt;=0.05),(ABS(W67)&lt;=0.05)),9,IF(AND((ABS(N67)&lt;=0.1),(ABS(W67)&lt;=0.1)),6,1))</f>
        <v>9</v>
      </c>
      <c r="AA67" s="91"/>
      <c r="AB67" s="91"/>
      <c r="AC67" s="51"/>
      <c r="AD67" s="51"/>
      <c r="AE67" s="51"/>
      <c r="AF67" s="112"/>
      <c r="AG67" s="23"/>
    </row>
    <row r="68" spans="2:33" ht="16.899999999999999" customHeight="1" thickBot="1" x14ac:dyDescent="0.4">
      <c r="B68" s="22"/>
      <c r="E68" s="165" t="s">
        <v>36</v>
      </c>
      <c r="F68" s="166"/>
      <c r="G68" s="166"/>
      <c r="H68" s="117"/>
      <c r="I68" s="117"/>
      <c r="J68" s="117"/>
      <c r="K68" s="117"/>
      <c r="L68" s="117"/>
      <c r="M68" s="117"/>
      <c r="N68" s="144">
        <f>IFERROR((K68-H68)/H68,0)</f>
        <v>0</v>
      </c>
      <c r="O68" s="144"/>
      <c r="P68" s="144"/>
      <c r="Q68" s="117"/>
      <c r="R68" s="117"/>
      <c r="S68" s="117"/>
      <c r="T68" s="117"/>
      <c r="U68" s="117"/>
      <c r="V68" s="117"/>
      <c r="W68" s="144">
        <f>ABS(T68-Q68)</f>
        <v>0</v>
      </c>
      <c r="X68" s="144"/>
      <c r="Y68" s="144"/>
      <c r="Z68" s="113">
        <f>IF(AND((ABS(N68)&lt;=0.05),(ABS(W68)&lt;=0.05)),9,IF(AND((ABS(N68)&lt;=0.1),(ABS(W68)&lt;=0.1)),6,1))</f>
        <v>9</v>
      </c>
      <c r="AA68" s="113"/>
      <c r="AB68" s="113"/>
      <c r="AC68" s="117"/>
      <c r="AD68" s="117"/>
      <c r="AE68" s="117"/>
      <c r="AF68" s="120"/>
      <c r="AG68" s="23"/>
    </row>
    <row r="69" spans="2:33" ht="16.899999999999999" customHeight="1" x14ac:dyDescent="0.35">
      <c r="B69" s="2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2"/>
      <c r="Q69" s="2"/>
      <c r="R69" s="2"/>
      <c r="S69" s="2"/>
      <c r="AG69" s="23"/>
    </row>
    <row r="70" spans="2:33" ht="16.899999999999999" customHeight="1" x14ac:dyDescent="0.35">
      <c r="B70" s="22"/>
      <c r="E70" s="67" t="s">
        <v>53</v>
      </c>
      <c r="F70" s="67"/>
      <c r="G70" s="67"/>
      <c r="H70" s="67"/>
      <c r="I70" s="67"/>
      <c r="J70" s="67"/>
      <c r="K70" s="67"/>
      <c r="L70" s="67"/>
      <c r="M70" s="67"/>
      <c r="N70" s="67"/>
      <c r="O70" s="124"/>
      <c r="P70" s="91">
        <f>MIN(Z66:AB68)</f>
        <v>9</v>
      </c>
      <c r="Q70" s="91"/>
      <c r="R70" s="91"/>
      <c r="S70" s="91"/>
      <c r="AG70" s="23"/>
    </row>
    <row r="71" spans="2:33" ht="16.899999999999999" customHeight="1" x14ac:dyDescent="0.35">
      <c r="B71" s="2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2"/>
      <c r="Q71" s="2"/>
      <c r="R71" s="2"/>
      <c r="S71" s="2"/>
      <c r="AG71" s="23"/>
    </row>
    <row r="72" spans="2:33" ht="16.899999999999999" customHeight="1" x14ac:dyDescent="0.35">
      <c r="B72" s="22"/>
      <c r="C72" s="14" t="s">
        <v>102</v>
      </c>
      <c r="D72" s="14"/>
      <c r="E72" s="14" t="s">
        <v>128</v>
      </c>
      <c r="G72" s="16"/>
      <c r="H72" s="16"/>
      <c r="I72" s="16"/>
      <c r="J72" s="16"/>
      <c r="K72" s="16"/>
      <c r="L72" s="16"/>
      <c r="M72" s="16"/>
      <c r="N72" s="16"/>
      <c r="O72" s="16"/>
      <c r="P72" s="2"/>
      <c r="Q72" s="2"/>
      <c r="R72" s="2"/>
      <c r="S72" s="2"/>
      <c r="AG72" s="23"/>
    </row>
    <row r="73" spans="2:33" ht="16.899999999999999" customHeight="1" thickBot="1" x14ac:dyDescent="0.4">
      <c r="B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"/>
      <c r="Q73" s="2"/>
      <c r="R73" s="2"/>
      <c r="S73" s="2"/>
      <c r="AG73" s="23"/>
    </row>
    <row r="74" spans="2:33" ht="37.15" customHeight="1" thickBot="1" x14ac:dyDescent="0.4">
      <c r="B74" s="22"/>
      <c r="E74" s="140" t="s">
        <v>93</v>
      </c>
      <c r="F74" s="141"/>
      <c r="G74" s="141"/>
      <c r="H74" s="141"/>
      <c r="I74" s="141"/>
      <c r="J74" s="58" t="s">
        <v>56</v>
      </c>
      <c r="K74" s="58"/>
      <c r="L74" s="58"/>
      <c r="M74" s="58"/>
      <c r="N74" s="58"/>
      <c r="O74" s="58"/>
      <c r="P74" s="102" t="s">
        <v>264</v>
      </c>
      <c r="Q74" s="65"/>
      <c r="R74" s="65"/>
      <c r="S74" s="139" t="s">
        <v>8</v>
      </c>
      <c r="T74" s="139"/>
      <c r="U74" s="139"/>
      <c r="V74" s="65" t="s">
        <v>6</v>
      </c>
      <c r="W74" s="65"/>
      <c r="X74" s="65"/>
      <c r="Y74" s="65"/>
      <c r="Z74" s="65"/>
      <c r="AA74" s="66"/>
      <c r="AG74" s="23"/>
    </row>
    <row r="75" spans="2:33" ht="16.899999999999999" customHeight="1" x14ac:dyDescent="0.35">
      <c r="B75" s="22"/>
      <c r="E75" s="73" t="s">
        <v>95</v>
      </c>
      <c r="F75" s="74"/>
      <c r="G75" s="74"/>
      <c r="H75" s="74"/>
      <c r="I75" s="74"/>
      <c r="J75" s="74" t="s">
        <v>97</v>
      </c>
      <c r="K75" s="74"/>
      <c r="L75" s="74"/>
      <c r="M75" s="74"/>
      <c r="N75" s="74"/>
      <c r="O75" s="74"/>
      <c r="P75" s="118"/>
      <c r="Q75" s="118"/>
      <c r="R75" s="118"/>
      <c r="S75" s="114">
        <f>IF(P75&lt;0.11,9,IF(P75&lt;0.22,6,1))</f>
        <v>9</v>
      </c>
      <c r="T75" s="114"/>
      <c r="U75" s="114"/>
      <c r="V75" s="118"/>
      <c r="W75" s="118"/>
      <c r="X75" s="118"/>
      <c r="Y75" s="118"/>
      <c r="Z75" s="118"/>
      <c r="AA75" s="119"/>
      <c r="AG75" s="23"/>
    </row>
    <row r="76" spans="2:33" ht="16.899999999999999" customHeight="1" thickBot="1" x14ac:dyDescent="0.4">
      <c r="B76" s="22"/>
      <c r="E76" s="77" t="s">
        <v>96</v>
      </c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117"/>
      <c r="Q76" s="117"/>
      <c r="R76" s="117"/>
      <c r="S76" s="113">
        <f>IF(ISBLANK(P76),9,IF(P76&lt;0.11,1,IF(P76&lt;0.22,9,6)))</f>
        <v>9</v>
      </c>
      <c r="T76" s="113"/>
      <c r="U76" s="113"/>
      <c r="V76" s="117"/>
      <c r="W76" s="117"/>
      <c r="X76" s="117"/>
      <c r="Y76" s="117"/>
      <c r="Z76" s="117"/>
      <c r="AA76" s="120"/>
      <c r="AG76" s="23"/>
    </row>
    <row r="77" spans="2:33" ht="16.899999999999999" customHeight="1" x14ac:dyDescent="0.35">
      <c r="B77" s="2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G77" s="23"/>
    </row>
    <row r="78" spans="2:33" ht="16.899999999999999" customHeight="1" x14ac:dyDescent="0.35">
      <c r="B78" s="22"/>
      <c r="E78" s="67" t="s">
        <v>94</v>
      </c>
      <c r="F78" s="67"/>
      <c r="G78" s="67"/>
      <c r="H78" s="67"/>
      <c r="I78" s="67"/>
      <c r="J78" s="67"/>
      <c r="K78" s="67"/>
      <c r="L78" s="67"/>
      <c r="M78" s="67"/>
      <c r="N78" s="67"/>
      <c r="O78" s="124"/>
      <c r="P78" s="91">
        <f>MIN(S75:U76)</f>
        <v>9</v>
      </c>
      <c r="Q78" s="91"/>
      <c r="R78" s="91"/>
      <c r="S78" s="91"/>
      <c r="T78" s="2"/>
      <c r="U78" s="2"/>
      <c r="V78" s="2"/>
      <c r="W78" s="2"/>
      <c r="X78" s="2"/>
      <c r="Y78" s="2"/>
      <c r="Z78" s="2"/>
      <c r="AA78" s="2"/>
      <c r="AG78" s="23"/>
    </row>
    <row r="79" spans="2:33" ht="16.899999999999999" customHeight="1" x14ac:dyDescent="0.35">
      <c r="B79" s="2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2"/>
      <c r="Q79" s="2"/>
      <c r="R79" s="2"/>
      <c r="S79" s="2"/>
      <c r="AG79" s="23"/>
    </row>
    <row r="80" spans="2:33" ht="16.899999999999999" customHeight="1" x14ac:dyDescent="0.35">
      <c r="B80" s="22"/>
      <c r="C80" s="14" t="s">
        <v>103</v>
      </c>
      <c r="D80" s="14"/>
      <c r="E80" s="14" t="s">
        <v>265</v>
      </c>
      <c r="G80" s="16"/>
      <c r="H80" s="16"/>
      <c r="I80" s="16"/>
      <c r="J80" s="16"/>
      <c r="K80" s="16"/>
      <c r="L80" s="16"/>
      <c r="M80" s="16"/>
      <c r="N80" s="16"/>
      <c r="O80" s="16"/>
      <c r="P80" s="2"/>
      <c r="Q80" s="2"/>
      <c r="R80" s="2"/>
      <c r="S80" s="2"/>
      <c r="AG80" s="23"/>
    </row>
    <row r="81" spans="2:33" ht="16.899999999999999" customHeight="1" thickBot="1" x14ac:dyDescent="0.4">
      <c r="B81" s="22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"/>
      <c r="Q81" s="2"/>
      <c r="R81" s="2"/>
      <c r="S81" s="2"/>
      <c r="AG81" s="23"/>
    </row>
    <row r="82" spans="2:33" ht="16.899999999999999" customHeight="1" x14ac:dyDescent="0.35">
      <c r="B82" s="22"/>
      <c r="E82" s="152" t="s">
        <v>49</v>
      </c>
      <c r="F82" s="153"/>
      <c r="G82" s="153"/>
      <c r="H82" s="136" t="s">
        <v>50</v>
      </c>
      <c r="I82" s="136"/>
      <c r="J82" s="136"/>
      <c r="K82" s="136"/>
      <c r="L82" s="136"/>
      <c r="M82" s="136"/>
      <c r="N82" s="136"/>
      <c r="O82" s="136"/>
      <c r="P82" s="136"/>
      <c r="Q82" s="136" t="s">
        <v>264</v>
      </c>
      <c r="R82" s="136"/>
      <c r="S82" s="136"/>
      <c r="T82" s="136"/>
      <c r="U82" s="136"/>
      <c r="V82" s="136"/>
      <c r="W82" s="136"/>
      <c r="X82" s="136"/>
      <c r="Y82" s="136"/>
      <c r="Z82" s="154" t="s">
        <v>8</v>
      </c>
      <c r="AA82" s="154"/>
      <c r="AB82" s="154"/>
      <c r="AC82" s="136" t="s">
        <v>6</v>
      </c>
      <c r="AD82" s="136"/>
      <c r="AE82" s="136"/>
      <c r="AF82" s="137"/>
      <c r="AG82" s="23"/>
    </row>
    <row r="83" spans="2:33" ht="16.899999999999999" customHeight="1" thickBot="1" x14ac:dyDescent="0.4">
      <c r="B83" s="22"/>
      <c r="E83" s="138"/>
      <c r="F83" s="134"/>
      <c r="G83" s="134"/>
      <c r="H83" s="145" t="s">
        <v>44</v>
      </c>
      <c r="I83" s="145"/>
      <c r="J83" s="145"/>
      <c r="K83" s="145" t="s">
        <v>51</v>
      </c>
      <c r="L83" s="145"/>
      <c r="M83" s="145"/>
      <c r="N83" s="146" t="s">
        <v>52</v>
      </c>
      <c r="O83" s="146"/>
      <c r="P83" s="146"/>
      <c r="Q83" s="145" t="s">
        <v>44</v>
      </c>
      <c r="R83" s="145"/>
      <c r="S83" s="145"/>
      <c r="T83" s="145" t="s">
        <v>51</v>
      </c>
      <c r="U83" s="145"/>
      <c r="V83" s="145"/>
      <c r="W83" s="146" t="s">
        <v>52</v>
      </c>
      <c r="X83" s="146"/>
      <c r="Y83" s="146"/>
      <c r="Z83" s="146"/>
      <c r="AA83" s="146"/>
      <c r="AB83" s="146"/>
      <c r="AC83" s="145"/>
      <c r="AD83" s="145"/>
      <c r="AE83" s="145"/>
      <c r="AF83" s="155"/>
      <c r="AG83" s="23"/>
    </row>
    <row r="84" spans="2:33" ht="16.899999999999999" customHeight="1" x14ac:dyDescent="0.35">
      <c r="B84" s="22"/>
      <c r="E84" s="149" t="s">
        <v>34</v>
      </c>
      <c r="F84" s="150"/>
      <c r="G84" s="150"/>
      <c r="H84" s="118"/>
      <c r="I84" s="118"/>
      <c r="J84" s="118"/>
      <c r="K84" s="118"/>
      <c r="L84" s="118"/>
      <c r="M84" s="118"/>
      <c r="N84" s="151">
        <f>IFERROR((K84-H84)/H84,0)</f>
        <v>0</v>
      </c>
      <c r="O84" s="151"/>
      <c r="P84" s="151"/>
      <c r="Q84" s="118"/>
      <c r="R84" s="118"/>
      <c r="S84" s="118"/>
      <c r="T84" s="118"/>
      <c r="U84" s="118"/>
      <c r="V84" s="118"/>
      <c r="W84" s="151">
        <f>IFERROR((T84-Q84)/Q84,0)</f>
        <v>0</v>
      </c>
      <c r="X84" s="151"/>
      <c r="Y84" s="151"/>
      <c r="Z84" s="114">
        <f>IF(AND((ABS(N84)&lt;=0.05),(ABS(W84)&lt;=0.05)),9,IF(AND((ABS(N84)&lt;=0.1),(ABS(W84)&lt;=0.1)),6,1))</f>
        <v>9</v>
      </c>
      <c r="AA84" s="114"/>
      <c r="AB84" s="114"/>
      <c r="AC84" s="118"/>
      <c r="AD84" s="118"/>
      <c r="AE84" s="118"/>
      <c r="AF84" s="119"/>
      <c r="AG84" s="23"/>
    </row>
    <row r="85" spans="2:33" ht="16.899999999999999" customHeight="1" x14ac:dyDescent="0.35">
      <c r="B85" s="22"/>
      <c r="E85" s="147" t="s">
        <v>35</v>
      </c>
      <c r="F85" s="148"/>
      <c r="G85" s="148"/>
      <c r="H85" s="51"/>
      <c r="I85" s="51"/>
      <c r="J85" s="51"/>
      <c r="K85" s="51"/>
      <c r="L85" s="51"/>
      <c r="M85" s="51"/>
      <c r="N85" s="110">
        <f t="shared" ref="N85" si="90">IFERROR((K85-H85)/H85,0)</f>
        <v>0</v>
      </c>
      <c r="O85" s="110"/>
      <c r="P85" s="110"/>
      <c r="Q85" s="51"/>
      <c r="R85" s="51"/>
      <c r="S85" s="51"/>
      <c r="T85" s="51"/>
      <c r="U85" s="51"/>
      <c r="V85" s="51"/>
      <c r="W85" s="110">
        <f t="shared" ref="W85" si="91">IFERROR((T85-Q85)/Q85,0)</f>
        <v>0</v>
      </c>
      <c r="X85" s="110"/>
      <c r="Y85" s="110"/>
      <c r="Z85" s="91">
        <f>IF(AND((ABS(N85)&lt;=0.05),(ABS(W85)&lt;=0.05)),9,IF(AND((ABS(N85)&lt;=0.1),(ABS(W85)&lt;=0.1)),6,1))</f>
        <v>9</v>
      </c>
      <c r="AA85" s="91"/>
      <c r="AB85" s="91"/>
      <c r="AC85" s="51"/>
      <c r="AD85" s="51"/>
      <c r="AE85" s="51"/>
      <c r="AF85" s="112"/>
      <c r="AG85" s="23"/>
    </row>
    <row r="86" spans="2:33" ht="16.899999999999999" customHeight="1" thickBot="1" x14ac:dyDescent="0.4">
      <c r="B86" s="22"/>
      <c r="E86" s="142" t="s">
        <v>36</v>
      </c>
      <c r="F86" s="143"/>
      <c r="G86" s="143"/>
      <c r="H86" s="117"/>
      <c r="I86" s="117"/>
      <c r="J86" s="117"/>
      <c r="K86" s="117"/>
      <c r="L86" s="117"/>
      <c r="M86" s="117"/>
      <c r="N86" s="144">
        <f>IFERROR((K86-H86)/H86,0)</f>
        <v>0</v>
      </c>
      <c r="O86" s="144"/>
      <c r="P86" s="144"/>
      <c r="Q86" s="117"/>
      <c r="R86" s="117"/>
      <c r="S86" s="117"/>
      <c r="T86" s="117"/>
      <c r="U86" s="117"/>
      <c r="V86" s="117"/>
      <c r="W86" s="144">
        <f>IFERROR((T86-Q86)/Q86,0)</f>
        <v>0</v>
      </c>
      <c r="X86" s="144"/>
      <c r="Y86" s="144"/>
      <c r="Z86" s="113">
        <f>IF(AND((ABS(N86)&lt;=0.05),(ABS(W86)&lt;=0.05)),9,IF(AND((ABS(N86)&lt;=0.1),(ABS(W86)&lt;=0.1)),6,1))</f>
        <v>9</v>
      </c>
      <c r="AA86" s="113"/>
      <c r="AB86" s="113"/>
      <c r="AC86" s="117"/>
      <c r="AD86" s="117"/>
      <c r="AE86" s="117"/>
      <c r="AF86" s="120"/>
      <c r="AG86" s="23"/>
    </row>
    <row r="87" spans="2:33" ht="16.899999999999999" customHeight="1" x14ac:dyDescent="0.35">
      <c r="B87" s="2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2"/>
      <c r="Q87" s="2"/>
      <c r="R87" s="2"/>
      <c r="S87" s="2"/>
      <c r="AG87" s="23"/>
    </row>
    <row r="88" spans="2:33" ht="16.899999999999999" customHeight="1" x14ac:dyDescent="0.35">
      <c r="B88" s="22"/>
      <c r="E88" s="67" t="s">
        <v>266</v>
      </c>
      <c r="F88" s="67"/>
      <c r="G88" s="67"/>
      <c r="H88" s="67"/>
      <c r="I88" s="67"/>
      <c r="J88" s="67"/>
      <c r="K88" s="67"/>
      <c r="L88" s="67"/>
      <c r="M88" s="67"/>
      <c r="N88" s="67"/>
      <c r="O88" s="124"/>
      <c r="P88" s="91">
        <f>MIN(Z84:AB86)</f>
        <v>9</v>
      </c>
      <c r="Q88" s="91"/>
      <c r="R88" s="91"/>
      <c r="S88" s="91"/>
      <c r="AG88" s="23"/>
    </row>
    <row r="89" spans="2:33" ht="16.899999999999999" customHeight="1" x14ac:dyDescent="0.35">
      <c r="B89" s="2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2"/>
      <c r="Q89" s="2"/>
      <c r="R89" s="2"/>
      <c r="S89" s="2"/>
      <c r="AG89" s="23"/>
    </row>
    <row r="90" spans="2:33" ht="16.899999999999999" customHeight="1" x14ac:dyDescent="0.35">
      <c r="B90" s="22"/>
      <c r="C90" s="14" t="s">
        <v>104</v>
      </c>
      <c r="D90" s="14"/>
      <c r="E90" s="14" t="s">
        <v>267</v>
      </c>
      <c r="F90" s="14"/>
      <c r="G90" s="16"/>
      <c r="H90" s="16"/>
      <c r="I90" s="16"/>
      <c r="J90" s="16"/>
      <c r="K90" s="16"/>
      <c r="L90" s="16"/>
      <c r="M90" s="16"/>
      <c r="N90" s="16"/>
      <c r="O90" s="16"/>
      <c r="P90" s="2"/>
      <c r="Q90" s="2"/>
      <c r="R90" s="2"/>
      <c r="S90" s="2"/>
      <c r="AG90" s="23"/>
    </row>
    <row r="91" spans="2:33" ht="16.899999999999999" customHeight="1" thickBot="1" x14ac:dyDescent="0.4">
      <c r="B91" s="22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"/>
      <c r="Q91" s="2"/>
      <c r="R91" s="2"/>
      <c r="S91" s="2"/>
      <c r="AG91" s="23"/>
    </row>
    <row r="92" spans="2:33" ht="37.15" customHeight="1" thickBot="1" x14ac:dyDescent="0.4">
      <c r="B92" s="22"/>
      <c r="E92" s="107" t="s">
        <v>55</v>
      </c>
      <c r="F92" s="58"/>
      <c r="G92" s="58"/>
      <c r="H92" s="58"/>
      <c r="I92" s="58"/>
      <c r="J92" s="58" t="s">
        <v>56</v>
      </c>
      <c r="K92" s="58"/>
      <c r="L92" s="58"/>
      <c r="M92" s="58"/>
      <c r="N92" s="58"/>
      <c r="O92" s="58"/>
      <c r="P92" s="102" t="s">
        <v>264</v>
      </c>
      <c r="Q92" s="102"/>
      <c r="R92" s="102"/>
      <c r="S92" s="139" t="s">
        <v>8</v>
      </c>
      <c r="T92" s="139"/>
      <c r="U92" s="139"/>
      <c r="V92" s="65" t="s">
        <v>6</v>
      </c>
      <c r="W92" s="65"/>
      <c r="X92" s="65"/>
      <c r="Y92" s="65"/>
      <c r="Z92" s="65"/>
      <c r="AA92" s="65"/>
      <c r="AB92" s="65"/>
      <c r="AC92" s="66"/>
      <c r="AG92" s="23"/>
    </row>
    <row r="93" spans="2:33" ht="16.899999999999999" customHeight="1" x14ac:dyDescent="0.35">
      <c r="B93" s="22"/>
      <c r="E93" s="73" t="s">
        <v>59</v>
      </c>
      <c r="F93" s="74"/>
      <c r="G93" s="74"/>
      <c r="H93" s="74"/>
      <c r="I93" s="74"/>
      <c r="J93" s="74" t="s">
        <v>57</v>
      </c>
      <c r="K93" s="74"/>
      <c r="L93" s="74"/>
      <c r="M93" s="74"/>
      <c r="N93" s="74"/>
      <c r="O93" s="74"/>
      <c r="P93" s="118"/>
      <c r="Q93" s="118"/>
      <c r="R93" s="118"/>
      <c r="S93" s="114">
        <f>IF(ISBLANK(P93),9,IF(OR(P93&lt;0.4,P93&gt;0.85),1,9))</f>
        <v>9</v>
      </c>
      <c r="T93" s="114"/>
      <c r="U93" s="114"/>
      <c r="V93" s="118"/>
      <c r="W93" s="118"/>
      <c r="X93" s="118"/>
      <c r="Y93" s="118"/>
      <c r="Z93" s="118"/>
      <c r="AA93" s="118"/>
      <c r="AB93" s="118"/>
      <c r="AC93" s="119"/>
      <c r="AG93" s="23"/>
    </row>
    <row r="94" spans="2:33" ht="16.899999999999999" customHeight="1" x14ac:dyDescent="0.35">
      <c r="B94" s="22"/>
      <c r="E94" s="75" t="s">
        <v>60</v>
      </c>
      <c r="F94" s="76"/>
      <c r="G94" s="76"/>
      <c r="H94" s="76"/>
      <c r="I94" s="76"/>
      <c r="J94" s="76" t="s">
        <v>57</v>
      </c>
      <c r="K94" s="76"/>
      <c r="L94" s="76"/>
      <c r="M94" s="76"/>
      <c r="N94" s="76"/>
      <c r="O94" s="76"/>
      <c r="P94" s="51"/>
      <c r="Q94" s="51"/>
      <c r="R94" s="51"/>
      <c r="S94" s="91">
        <f>IF(P94&lt;0.3,9,1)</f>
        <v>9</v>
      </c>
      <c r="T94" s="91"/>
      <c r="U94" s="91"/>
      <c r="V94" s="51"/>
      <c r="W94" s="51"/>
      <c r="X94" s="51"/>
      <c r="Y94" s="51"/>
      <c r="Z94" s="51"/>
      <c r="AA94" s="51"/>
      <c r="AB94" s="51"/>
      <c r="AC94" s="112"/>
      <c r="AG94" s="23"/>
    </row>
    <row r="95" spans="2:33" ht="16.899999999999999" customHeight="1" thickBot="1" x14ac:dyDescent="0.4">
      <c r="B95" s="22"/>
      <c r="E95" s="77" t="s">
        <v>60</v>
      </c>
      <c r="F95" s="78"/>
      <c r="G95" s="78"/>
      <c r="H95" s="78"/>
      <c r="I95" s="78"/>
      <c r="J95" s="78" t="s">
        <v>58</v>
      </c>
      <c r="K95" s="78"/>
      <c r="L95" s="78"/>
      <c r="M95" s="78"/>
      <c r="N95" s="78"/>
      <c r="O95" s="78"/>
      <c r="P95" s="117" t="s">
        <v>252</v>
      </c>
      <c r="Q95" s="117"/>
      <c r="R95" s="117"/>
      <c r="S95" s="162">
        <f>IF(P95="-",9,1)</f>
        <v>9</v>
      </c>
      <c r="T95" s="163"/>
      <c r="U95" s="164"/>
      <c r="V95" s="187"/>
      <c r="W95" s="187"/>
      <c r="X95" s="187"/>
      <c r="Y95" s="187"/>
      <c r="Z95" s="187"/>
      <c r="AA95" s="187"/>
      <c r="AB95" s="187"/>
      <c r="AC95" s="188"/>
      <c r="AG95" s="23"/>
    </row>
    <row r="96" spans="2:33" ht="16.899999999999999" customHeight="1" x14ac:dyDescent="0.35">
      <c r="B96" s="22"/>
      <c r="E96" s="9" t="s">
        <v>277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G96" s="23"/>
    </row>
    <row r="97" spans="2:33" ht="16.899999999999999" customHeight="1" x14ac:dyDescent="0.35">
      <c r="B97" s="2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G97" s="23"/>
    </row>
    <row r="98" spans="2:33" ht="16.899999999999999" customHeight="1" x14ac:dyDescent="0.35">
      <c r="B98" s="22"/>
      <c r="E98" s="67" t="s">
        <v>268</v>
      </c>
      <c r="F98" s="67"/>
      <c r="G98" s="67"/>
      <c r="H98" s="67"/>
      <c r="I98" s="67"/>
      <c r="J98" s="67"/>
      <c r="K98" s="67"/>
      <c r="L98" s="67"/>
      <c r="M98" s="67"/>
      <c r="N98" s="67"/>
      <c r="O98" s="124"/>
      <c r="P98" s="91">
        <f>MIN(S93:U95)</f>
        <v>9</v>
      </c>
      <c r="Q98" s="91"/>
      <c r="R98" s="91"/>
      <c r="S98" s="91"/>
      <c r="T98" s="2"/>
      <c r="U98" s="2"/>
      <c r="V98" s="2"/>
      <c r="W98" s="2"/>
      <c r="X98" s="2"/>
      <c r="Y98" s="2"/>
      <c r="Z98" s="2"/>
      <c r="AA98" s="2"/>
      <c r="AG98" s="23"/>
    </row>
    <row r="99" spans="2:33" ht="16.899999999999999" customHeight="1" x14ac:dyDescent="0.35">
      <c r="B99" s="22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2"/>
      <c r="Q99" s="2"/>
      <c r="R99" s="2"/>
      <c r="S99" s="2"/>
      <c r="AG99" s="23"/>
    </row>
    <row r="100" spans="2:33" ht="16.899999999999999" customHeight="1" x14ac:dyDescent="0.35">
      <c r="B100" s="22"/>
      <c r="C100" s="14" t="s">
        <v>105</v>
      </c>
      <c r="D100" s="14"/>
      <c r="E100" s="14" t="s">
        <v>129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2"/>
      <c r="Q100" s="2"/>
      <c r="R100" s="2"/>
      <c r="S100" s="2"/>
      <c r="AG100" s="23"/>
    </row>
    <row r="101" spans="2:33" ht="16.899999999999999" customHeight="1" thickBot="1" x14ac:dyDescent="0.4">
      <c r="B101" s="22"/>
      <c r="C101" s="14"/>
      <c r="D101" s="14"/>
      <c r="E101" s="1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"/>
      <c r="Q101" s="2"/>
      <c r="R101" s="2"/>
      <c r="S101" s="2"/>
      <c r="AG101" s="23"/>
    </row>
    <row r="102" spans="2:33" ht="19.899999999999999" customHeight="1" x14ac:dyDescent="0.35">
      <c r="B102" s="22"/>
      <c r="E102" s="152" t="s">
        <v>61</v>
      </c>
      <c r="F102" s="153"/>
      <c r="G102" s="153"/>
      <c r="H102" s="153"/>
      <c r="I102" s="153" t="s">
        <v>63</v>
      </c>
      <c r="J102" s="153"/>
      <c r="K102" s="153"/>
      <c r="L102" s="153"/>
      <c r="M102" s="161" t="s">
        <v>71</v>
      </c>
      <c r="N102" s="161"/>
      <c r="O102" s="161"/>
      <c r="P102" s="161"/>
      <c r="Q102" s="161"/>
      <c r="R102" s="161"/>
      <c r="S102" s="154" t="s">
        <v>8</v>
      </c>
      <c r="T102" s="154"/>
      <c r="U102" s="154"/>
      <c r="V102" s="136" t="s">
        <v>6</v>
      </c>
      <c r="W102" s="136"/>
      <c r="X102" s="136"/>
      <c r="Y102" s="136"/>
      <c r="Z102" s="136"/>
      <c r="AA102" s="137"/>
      <c r="AG102" s="23"/>
    </row>
    <row r="103" spans="2:33" ht="19.899999999999999" customHeight="1" thickBot="1" x14ac:dyDescent="0.4">
      <c r="B103" s="22"/>
      <c r="E103" s="138"/>
      <c r="F103" s="134"/>
      <c r="G103" s="134"/>
      <c r="H103" s="134"/>
      <c r="I103" s="134"/>
      <c r="J103" s="134"/>
      <c r="K103" s="134"/>
      <c r="L103" s="134"/>
      <c r="M103" s="133" t="s">
        <v>29</v>
      </c>
      <c r="N103" s="133"/>
      <c r="O103" s="133"/>
      <c r="P103" s="145" t="s">
        <v>70</v>
      </c>
      <c r="Q103" s="145"/>
      <c r="R103" s="145"/>
      <c r="S103" s="146"/>
      <c r="T103" s="146"/>
      <c r="U103" s="146"/>
      <c r="V103" s="145"/>
      <c r="W103" s="145"/>
      <c r="X103" s="145"/>
      <c r="Y103" s="145"/>
      <c r="Z103" s="145"/>
      <c r="AA103" s="155"/>
      <c r="AG103" s="23"/>
    </row>
    <row r="104" spans="2:33" ht="16.899999999999999" customHeight="1" thickBot="1" x14ac:dyDescent="0.4">
      <c r="B104" s="22"/>
      <c r="E104" s="73" t="s">
        <v>62</v>
      </c>
      <c r="F104" s="74"/>
      <c r="G104" s="74"/>
      <c r="H104" s="74"/>
      <c r="I104" s="74" t="s">
        <v>64</v>
      </c>
      <c r="J104" s="74"/>
      <c r="K104" s="74"/>
      <c r="L104" s="74"/>
      <c r="M104" s="79"/>
      <c r="N104" s="79"/>
      <c r="O104" s="79"/>
      <c r="P104" s="118" t="s">
        <v>294</v>
      </c>
      <c r="Q104" s="118"/>
      <c r="R104" s="118"/>
      <c r="S104" s="114">
        <f>IF(ISBLANK(M104),9,IF(ISBLANK(P104),1,9))</f>
        <v>9</v>
      </c>
      <c r="T104" s="114"/>
      <c r="U104" s="114"/>
      <c r="V104" s="118" t="s">
        <v>304</v>
      </c>
      <c r="W104" s="118"/>
      <c r="X104" s="118"/>
      <c r="Y104" s="118"/>
      <c r="Z104" s="118"/>
      <c r="AA104" s="119"/>
      <c r="AG104" s="23"/>
    </row>
    <row r="105" spans="2:33" ht="16.899999999999999" customHeight="1" thickBot="1" x14ac:dyDescent="0.4">
      <c r="B105" s="22"/>
      <c r="E105" s="75"/>
      <c r="F105" s="76"/>
      <c r="G105" s="76"/>
      <c r="H105" s="76"/>
      <c r="I105" s="76" t="s">
        <v>65</v>
      </c>
      <c r="J105" s="76"/>
      <c r="K105" s="76"/>
      <c r="L105" s="76"/>
      <c r="M105" s="80"/>
      <c r="N105" s="80"/>
      <c r="O105" s="80"/>
      <c r="P105" s="51" t="s">
        <v>294</v>
      </c>
      <c r="Q105" s="51"/>
      <c r="R105" s="51"/>
      <c r="S105" s="91">
        <f t="shared" ref="S105:S110" si="92">IF(ISBLANK(M105),9,IF(ISBLANK(P105),1,9))</f>
        <v>9</v>
      </c>
      <c r="T105" s="91"/>
      <c r="U105" s="91"/>
      <c r="V105" s="118" t="s">
        <v>304</v>
      </c>
      <c r="W105" s="118"/>
      <c r="X105" s="118"/>
      <c r="Y105" s="118"/>
      <c r="Z105" s="118"/>
      <c r="AA105" s="119"/>
      <c r="AG105" s="23"/>
    </row>
    <row r="106" spans="2:33" ht="16.899999999999999" customHeight="1" thickBot="1" x14ac:dyDescent="0.4">
      <c r="B106" s="22"/>
      <c r="E106" s="77"/>
      <c r="F106" s="78"/>
      <c r="G106" s="78"/>
      <c r="H106" s="78"/>
      <c r="I106" s="78" t="s">
        <v>66</v>
      </c>
      <c r="J106" s="78"/>
      <c r="K106" s="78"/>
      <c r="L106" s="78"/>
      <c r="M106" s="81"/>
      <c r="N106" s="81"/>
      <c r="O106" s="81"/>
      <c r="P106" s="117" t="s">
        <v>294</v>
      </c>
      <c r="Q106" s="117"/>
      <c r="R106" s="117"/>
      <c r="S106" s="113">
        <f t="shared" si="92"/>
        <v>9</v>
      </c>
      <c r="T106" s="113"/>
      <c r="U106" s="113"/>
      <c r="V106" s="118" t="s">
        <v>304</v>
      </c>
      <c r="W106" s="118"/>
      <c r="X106" s="118"/>
      <c r="Y106" s="118"/>
      <c r="Z106" s="118"/>
      <c r="AA106" s="119"/>
      <c r="AG106" s="23"/>
    </row>
    <row r="107" spans="2:33" ht="16.899999999999999" customHeight="1" thickBot="1" x14ac:dyDescent="0.4">
      <c r="B107" s="22"/>
      <c r="E107" s="73" t="s">
        <v>67</v>
      </c>
      <c r="F107" s="74"/>
      <c r="G107" s="74"/>
      <c r="H107" s="74"/>
      <c r="I107" s="74" t="s">
        <v>37</v>
      </c>
      <c r="J107" s="74"/>
      <c r="K107" s="74"/>
      <c r="L107" s="74"/>
      <c r="M107" s="79"/>
      <c r="N107" s="79"/>
      <c r="O107" s="79"/>
      <c r="P107" s="118" t="s">
        <v>294</v>
      </c>
      <c r="Q107" s="118"/>
      <c r="R107" s="118"/>
      <c r="S107" s="114">
        <f t="shared" si="92"/>
        <v>9</v>
      </c>
      <c r="T107" s="114"/>
      <c r="U107" s="114"/>
      <c r="V107" s="118" t="s">
        <v>304</v>
      </c>
      <c r="W107" s="118"/>
      <c r="X107" s="118"/>
      <c r="Y107" s="118"/>
      <c r="Z107" s="118"/>
      <c r="AA107" s="119"/>
      <c r="AG107" s="23"/>
    </row>
    <row r="108" spans="2:33" ht="16.899999999999999" customHeight="1" thickBot="1" x14ac:dyDescent="0.4">
      <c r="B108" s="22"/>
      <c r="E108" s="75"/>
      <c r="F108" s="76"/>
      <c r="G108" s="76"/>
      <c r="H108" s="76"/>
      <c r="I108" s="76" t="s">
        <v>38</v>
      </c>
      <c r="J108" s="76"/>
      <c r="K108" s="76"/>
      <c r="L108" s="76"/>
      <c r="M108" s="80"/>
      <c r="N108" s="80"/>
      <c r="O108" s="80"/>
      <c r="P108" s="51" t="s">
        <v>294</v>
      </c>
      <c r="Q108" s="51"/>
      <c r="R108" s="51"/>
      <c r="S108" s="91">
        <f t="shared" si="92"/>
        <v>9</v>
      </c>
      <c r="T108" s="91"/>
      <c r="U108" s="91"/>
      <c r="V108" s="118" t="s">
        <v>304</v>
      </c>
      <c r="W108" s="118"/>
      <c r="X108" s="118"/>
      <c r="Y108" s="118"/>
      <c r="Z108" s="118"/>
      <c r="AA108" s="119"/>
      <c r="AG108" s="23"/>
    </row>
    <row r="109" spans="2:33" ht="16.899999999999999" customHeight="1" thickBot="1" x14ac:dyDescent="0.4">
      <c r="B109" s="22"/>
      <c r="E109" s="77"/>
      <c r="F109" s="78"/>
      <c r="G109" s="78"/>
      <c r="H109" s="78"/>
      <c r="I109" s="78" t="s">
        <v>39</v>
      </c>
      <c r="J109" s="78"/>
      <c r="K109" s="78"/>
      <c r="L109" s="78"/>
      <c r="M109" s="81"/>
      <c r="N109" s="81"/>
      <c r="O109" s="81"/>
      <c r="P109" s="117" t="s">
        <v>294</v>
      </c>
      <c r="Q109" s="117"/>
      <c r="R109" s="117"/>
      <c r="S109" s="113">
        <f t="shared" si="92"/>
        <v>9</v>
      </c>
      <c r="T109" s="113"/>
      <c r="U109" s="113"/>
      <c r="V109" s="118" t="s">
        <v>304</v>
      </c>
      <c r="W109" s="118"/>
      <c r="X109" s="118"/>
      <c r="Y109" s="118"/>
      <c r="Z109" s="118"/>
      <c r="AA109" s="119"/>
      <c r="AG109" s="23"/>
    </row>
    <row r="110" spans="2:33" ht="16.899999999999999" customHeight="1" thickBot="1" x14ac:dyDescent="0.4">
      <c r="B110" s="22"/>
      <c r="E110" s="156" t="s">
        <v>68</v>
      </c>
      <c r="F110" s="157"/>
      <c r="G110" s="157"/>
      <c r="H110" s="157"/>
      <c r="I110" s="157" t="s">
        <v>69</v>
      </c>
      <c r="J110" s="157"/>
      <c r="K110" s="157"/>
      <c r="L110" s="157"/>
      <c r="M110" s="159"/>
      <c r="N110" s="159"/>
      <c r="O110" s="159"/>
      <c r="P110" s="160" t="s">
        <v>294</v>
      </c>
      <c r="Q110" s="160"/>
      <c r="R110" s="160"/>
      <c r="S110" s="158">
        <f t="shared" si="92"/>
        <v>9</v>
      </c>
      <c r="T110" s="158"/>
      <c r="U110" s="158"/>
      <c r="V110" s="118" t="s">
        <v>304</v>
      </c>
      <c r="W110" s="118"/>
      <c r="X110" s="118"/>
      <c r="Y110" s="118"/>
      <c r="Z110" s="118"/>
      <c r="AA110" s="119"/>
      <c r="AG110" s="23"/>
    </row>
    <row r="111" spans="2:33" ht="16.899999999999999" customHeight="1" x14ac:dyDescent="0.35">
      <c r="B111" s="22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"/>
      <c r="Q111" s="2"/>
      <c r="R111" s="2"/>
      <c r="S111" s="2"/>
      <c r="AG111" s="23"/>
    </row>
    <row r="112" spans="2:33" ht="16.899999999999999" customHeight="1" x14ac:dyDescent="0.35">
      <c r="B112" s="22"/>
      <c r="E112" s="67" t="s">
        <v>72</v>
      </c>
      <c r="F112" s="67"/>
      <c r="G112" s="67"/>
      <c r="H112" s="67"/>
      <c r="I112" s="67"/>
      <c r="J112" s="67"/>
      <c r="K112" s="67"/>
      <c r="L112" s="67"/>
      <c r="M112" s="67"/>
      <c r="N112" s="67"/>
      <c r="O112" s="124"/>
      <c r="P112" s="91">
        <f>MIN(S104:U110)</f>
        <v>9</v>
      </c>
      <c r="Q112" s="91"/>
      <c r="R112" s="91"/>
      <c r="S112" s="91"/>
      <c r="AG112" s="23"/>
    </row>
    <row r="113" spans="2:34" ht="16.899999999999999" customHeight="1" x14ac:dyDescent="0.35">
      <c r="B113" s="22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"/>
      <c r="Q113" s="2"/>
      <c r="R113" s="2"/>
      <c r="S113" s="2"/>
      <c r="AG113" s="23"/>
    </row>
    <row r="114" spans="2:34" ht="16.899999999999999" customHeight="1" x14ac:dyDescent="0.35">
      <c r="B114" s="22"/>
      <c r="C114" s="14" t="s">
        <v>106</v>
      </c>
      <c r="D114" s="14"/>
      <c r="E114" s="14" t="s">
        <v>130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2"/>
      <c r="Q114" s="2"/>
      <c r="R114" s="2"/>
      <c r="S114" s="2"/>
      <c r="AG114" s="23"/>
    </row>
    <row r="115" spans="2:34" ht="16.899999999999999" customHeight="1" thickBot="1" x14ac:dyDescent="0.4">
      <c r="B115" s="22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2"/>
      <c r="Q115" s="2"/>
      <c r="R115" s="2"/>
      <c r="S115" s="2"/>
      <c r="AG115" s="23"/>
    </row>
    <row r="116" spans="2:34" ht="25.15" customHeight="1" x14ac:dyDescent="0.35">
      <c r="B116" s="22"/>
      <c r="E116" s="135" t="s">
        <v>73</v>
      </c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 t="s">
        <v>78</v>
      </c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7"/>
      <c r="AG116" s="30"/>
      <c r="AH116" s="14"/>
    </row>
    <row r="117" spans="2:34" s="4" customFormat="1" ht="37.15" customHeight="1" thickBot="1" x14ac:dyDescent="0.4">
      <c r="B117" s="25"/>
      <c r="E117" s="138" t="s">
        <v>49</v>
      </c>
      <c r="F117" s="134"/>
      <c r="G117" s="134"/>
      <c r="H117" s="134"/>
      <c r="I117" s="133" t="s">
        <v>118</v>
      </c>
      <c r="J117" s="133"/>
      <c r="K117" s="133"/>
      <c r="L117" s="133"/>
      <c r="M117" s="133" t="s">
        <v>264</v>
      </c>
      <c r="N117" s="133"/>
      <c r="O117" s="133"/>
      <c r="P117" s="129" t="s">
        <v>8</v>
      </c>
      <c r="Q117" s="129"/>
      <c r="R117" s="129"/>
      <c r="S117" s="134" t="s">
        <v>49</v>
      </c>
      <c r="T117" s="134"/>
      <c r="U117" s="134"/>
      <c r="V117" s="134"/>
      <c r="W117" s="133" t="s">
        <v>118</v>
      </c>
      <c r="X117" s="133"/>
      <c r="Y117" s="133"/>
      <c r="Z117" s="133"/>
      <c r="AA117" s="133" t="s">
        <v>264</v>
      </c>
      <c r="AB117" s="133"/>
      <c r="AC117" s="133"/>
      <c r="AD117" s="129" t="s">
        <v>8</v>
      </c>
      <c r="AE117" s="129"/>
      <c r="AF117" s="130"/>
      <c r="AG117" s="26"/>
    </row>
    <row r="118" spans="2:34" ht="16.899999999999999" customHeight="1" x14ac:dyDescent="0.35">
      <c r="B118" s="22"/>
      <c r="E118" s="73" t="s">
        <v>74</v>
      </c>
      <c r="F118" s="74"/>
      <c r="G118" s="74"/>
      <c r="H118" s="74"/>
      <c r="I118" s="79"/>
      <c r="J118" s="79"/>
      <c r="K118" s="79"/>
      <c r="L118" s="79"/>
      <c r="M118" s="79"/>
      <c r="N118" s="79"/>
      <c r="O118" s="79"/>
      <c r="P118" s="131">
        <f>IF(M118&lt;0.1,9,1)</f>
        <v>9</v>
      </c>
      <c r="Q118" s="131"/>
      <c r="R118" s="131"/>
      <c r="S118" s="74" t="s">
        <v>77</v>
      </c>
      <c r="T118" s="74"/>
      <c r="U118" s="74"/>
      <c r="V118" s="74"/>
      <c r="W118" s="79"/>
      <c r="X118" s="79"/>
      <c r="Y118" s="79"/>
      <c r="Z118" s="79"/>
      <c r="AA118" s="79"/>
      <c r="AB118" s="79"/>
      <c r="AC118" s="79"/>
      <c r="AD118" s="131">
        <f>IF(AA118&lt;0.1,9,1)</f>
        <v>9</v>
      </c>
      <c r="AE118" s="131"/>
      <c r="AF118" s="132"/>
      <c r="AG118" s="23"/>
    </row>
    <row r="119" spans="2:34" ht="16.899999999999999" customHeight="1" x14ac:dyDescent="0.35">
      <c r="B119" s="22"/>
      <c r="E119" s="75" t="s">
        <v>75</v>
      </c>
      <c r="F119" s="76"/>
      <c r="G119" s="76"/>
      <c r="H119" s="76"/>
      <c r="I119" s="80"/>
      <c r="J119" s="80"/>
      <c r="K119" s="80"/>
      <c r="L119" s="80"/>
      <c r="M119" s="80"/>
      <c r="N119" s="80"/>
      <c r="O119" s="80"/>
      <c r="P119" s="125">
        <f t="shared" ref="P119:P131" si="93">IF(M119&lt;0.1,9,1)</f>
        <v>9</v>
      </c>
      <c r="Q119" s="125"/>
      <c r="R119" s="125"/>
      <c r="S119" s="76" t="s">
        <v>86</v>
      </c>
      <c r="T119" s="76"/>
      <c r="U119" s="76"/>
      <c r="V119" s="76"/>
      <c r="W119" s="80"/>
      <c r="X119" s="80"/>
      <c r="Y119" s="80"/>
      <c r="Z119" s="80"/>
      <c r="AA119" s="80"/>
      <c r="AB119" s="80"/>
      <c r="AC119" s="80"/>
      <c r="AD119" s="125">
        <f t="shared" ref="AD119:AD132" si="94">IF(AA119&lt;0.1,9,1)</f>
        <v>9</v>
      </c>
      <c r="AE119" s="125"/>
      <c r="AF119" s="126"/>
      <c r="AG119" s="23"/>
    </row>
    <row r="120" spans="2:34" ht="16.899999999999999" customHeight="1" x14ac:dyDescent="0.35">
      <c r="B120" s="22"/>
      <c r="E120" s="75" t="s">
        <v>76</v>
      </c>
      <c r="F120" s="76"/>
      <c r="G120" s="76"/>
      <c r="H120" s="76"/>
      <c r="I120" s="80"/>
      <c r="J120" s="80"/>
      <c r="K120" s="80"/>
      <c r="L120" s="80"/>
      <c r="M120" s="80"/>
      <c r="N120" s="80"/>
      <c r="O120" s="80"/>
      <c r="P120" s="125">
        <f t="shared" si="93"/>
        <v>9</v>
      </c>
      <c r="Q120" s="125"/>
      <c r="R120" s="125"/>
      <c r="S120" s="76" t="s">
        <v>87</v>
      </c>
      <c r="T120" s="76"/>
      <c r="U120" s="76"/>
      <c r="V120" s="76"/>
      <c r="W120" s="80"/>
      <c r="X120" s="80"/>
      <c r="Y120" s="80"/>
      <c r="Z120" s="80"/>
      <c r="AA120" s="80"/>
      <c r="AB120" s="80"/>
      <c r="AC120" s="80"/>
      <c r="AD120" s="125">
        <f t="shared" si="94"/>
        <v>9</v>
      </c>
      <c r="AE120" s="125"/>
      <c r="AF120" s="126"/>
      <c r="AG120" s="23"/>
    </row>
    <row r="121" spans="2:34" ht="16.899999999999999" customHeight="1" x14ac:dyDescent="0.35">
      <c r="B121" s="22"/>
      <c r="E121" s="75" t="s">
        <v>88</v>
      </c>
      <c r="F121" s="76"/>
      <c r="G121" s="76"/>
      <c r="H121" s="76"/>
      <c r="I121" s="80"/>
      <c r="J121" s="80"/>
      <c r="K121" s="80"/>
      <c r="L121" s="80"/>
      <c r="M121" s="80"/>
      <c r="N121" s="80"/>
      <c r="O121" s="80"/>
      <c r="P121" s="125">
        <f t="shared" si="93"/>
        <v>9</v>
      </c>
      <c r="Q121" s="125"/>
      <c r="R121" s="125"/>
      <c r="S121" s="76" t="s">
        <v>90</v>
      </c>
      <c r="T121" s="76"/>
      <c r="U121" s="76"/>
      <c r="V121" s="76"/>
      <c r="W121" s="80"/>
      <c r="X121" s="80"/>
      <c r="Y121" s="80"/>
      <c r="Z121" s="80"/>
      <c r="AA121" s="80"/>
      <c r="AB121" s="80"/>
      <c r="AC121" s="80"/>
      <c r="AD121" s="125">
        <f t="shared" si="94"/>
        <v>9</v>
      </c>
      <c r="AE121" s="125"/>
      <c r="AF121" s="126"/>
      <c r="AG121" s="23"/>
    </row>
    <row r="122" spans="2:34" ht="16.899999999999999" customHeight="1" x14ac:dyDescent="0.35">
      <c r="B122" s="22"/>
      <c r="E122" s="75" t="s">
        <v>79</v>
      </c>
      <c r="F122" s="76"/>
      <c r="G122" s="76"/>
      <c r="H122" s="76"/>
      <c r="I122" s="80"/>
      <c r="J122" s="80"/>
      <c r="K122" s="80"/>
      <c r="L122" s="80"/>
      <c r="M122" s="80"/>
      <c r="N122" s="80"/>
      <c r="O122" s="80"/>
      <c r="P122" s="125">
        <f t="shared" si="93"/>
        <v>9</v>
      </c>
      <c r="Q122" s="125"/>
      <c r="R122" s="125"/>
      <c r="S122" s="76" t="s">
        <v>80</v>
      </c>
      <c r="T122" s="76"/>
      <c r="U122" s="76"/>
      <c r="V122" s="76"/>
      <c r="W122" s="80"/>
      <c r="X122" s="80"/>
      <c r="Y122" s="80"/>
      <c r="Z122" s="80"/>
      <c r="AA122" s="80"/>
      <c r="AB122" s="80"/>
      <c r="AC122" s="80"/>
      <c r="AD122" s="125">
        <f t="shared" si="94"/>
        <v>9</v>
      </c>
      <c r="AE122" s="125"/>
      <c r="AF122" s="126"/>
      <c r="AG122" s="23"/>
    </row>
    <row r="123" spans="2:34" ht="16.899999999999999" customHeight="1" x14ac:dyDescent="0.35">
      <c r="B123" s="22"/>
      <c r="E123" s="75" t="s">
        <v>89</v>
      </c>
      <c r="F123" s="76"/>
      <c r="G123" s="76"/>
      <c r="H123" s="76"/>
      <c r="I123" s="80"/>
      <c r="J123" s="80"/>
      <c r="K123" s="80"/>
      <c r="L123" s="80"/>
      <c r="M123" s="80"/>
      <c r="N123" s="80"/>
      <c r="O123" s="80"/>
      <c r="P123" s="125">
        <f t="shared" si="93"/>
        <v>9</v>
      </c>
      <c r="Q123" s="125"/>
      <c r="R123" s="125"/>
      <c r="S123" s="76" t="s">
        <v>91</v>
      </c>
      <c r="T123" s="76"/>
      <c r="U123" s="76"/>
      <c r="V123" s="76"/>
      <c r="W123" s="80"/>
      <c r="X123" s="80"/>
      <c r="Y123" s="80"/>
      <c r="Z123" s="80"/>
      <c r="AA123" s="80"/>
      <c r="AB123" s="80"/>
      <c r="AC123" s="80"/>
      <c r="AD123" s="125">
        <f t="shared" si="94"/>
        <v>9</v>
      </c>
      <c r="AE123" s="125"/>
      <c r="AF123" s="126"/>
      <c r="AG123" s="23"/>
    </row>
    <row r="124" spans="2:34" ht="16.899999999999999" customHeight="1" x14ac:dyDescent="0.35">
      <c r="B124" s="22"/>
      <c r="E124" s="75" t="s">
        <v>81</v>
      </c>
      <c r="F124" s="76"/>
      <c r="G124" s="76"/>
      <c r="H124" s="76"/>
      <c r="I124" s="80"/>
      <c r="J124" s="80"/>
      <c r="K124" s="80"/>
      <c r="L124" s="80"/>
      <c r="M124" s="80"/>
      <c r="N124" s="80"/>
      <c r="O124" s="80"/>
      <c r="P124" s="125">
        <f t="shared" si="93"/>
        <v>9</v>
      </c>
      <c r="Q124" s="125"/>
      <c r="R124" s="125"/>
      <c r="S124" s="76" t="s">
        <v>82</v>
      </c>
      <c r="T124" s="76"/>
      <c r="U124" s="76"/>
      <c r="V124" s="76"/>
      <c r="W124" s="80"/>
      <c r="X124" s="80"/>
      <c r="Y124" s="80"/>
      <c r="Z124" s="80"/>
      <c r="AA124" s="80"/>
      <c r="AB124" s="80"/>
      <c r="AC124" s="80"/>
      <c r="AD124" s="125">
        <f t="shared" si="94"/>
        <v>9</v>
      </c>
      <c r="AE124" s="125"/>
      <c r="AF124" s="126"/>
      <c r="AG124" s="23"/>
    </row>
    <row r="125" spans="2:34" ht="16.899999999999999" customHeight="1" x14ac:dyDescent="0.35">
      <c r="B125" s="22"/>
      <c r="E125" s="75" t="s">
        <v>77</v>
      </c>
      <c r="F125" s="76"/>
      <c r="G125" s="76"/>
      <c r="H125" s="76"/>
      <c r="I125" s="80"/>
      <c r="J125" s="80"/>
      <c r="K125" s="80"/>
      <c r="L125" s="80"/>
      <c r="M125" s="80"/>
      <c r="N125" s="80"/>
      <c r="O125" s="80"/>
      <c r="P125" s="125">
        <f t="shared" si="93"/>
        <v>9</v>
      </c>
      <c r="Q125" s="125"/>
      <c r="R125" s="125"/>
      <c r="S125" s="76" t="s">
        <v>74</v>
      </c>
      <c r="T125" s="76"/>
      <c r="U125" s="76"/>
      <c r="V125" s="76"/>
      <c r="W125" s="80"/>
      <c r="X125" s="80"/>
      <c r="Y125" s="80"/>
      <c r="Z125" s="80"/>
      <c r="AA125" s="80"/>
      <c r="AB125" s="80"/>
      <c r="AC125" s="80"/>
      <c r="AD125" s="125">
        <f t="shared" si="94"/>
        <v>9</v>
      </c>
      <c r="AE125" s="125"/>
      <c r="AF125" s="126"/>
      <c r="AG125" s="23"/>
    </row>
    <row r="126" spans="2:34" ht="16.899999999999999" customHeight="1" x14ac:dyDescent="0.35">
      <c r="B126" s="22"/>
      <c r="E126" s="75" t="s">
        <v>86</v>
      </c>
      <c r="F126" s="76"/>
      <c r="G126" s="76"/>
      <c r="H126" s="76"/>
      <c r="I126" s="80"/>
      <c r="J126" s="80"/>
      <c r="K126" s="80"/>
      <c r="L126" s="80"/>
      <c r="M126" s="80"/>
      <c r="N126" s="80"/>
      <c r="O126" s="80"/>
      <c r="P126" s="125">
        <f t="shared" si="93"/>
        <v>9</v>
      </c>
      <c r="Q126" s="125"/>
      <c r="R126" s="125"/>
      <c r="S126" s="76" t="s">
        <v>75</v>
      </c>
      <c r="T126" s="76"/>
      <c r="U126" s="76"/>
      <c r="V126" s="76"/>
      <c r="W126" s="80"/>
      <c r="X126" s="80"/>
      <c r="Y126" s="80"/>
      <c r="Z126" s="80"/>
      <c r="AA126" s="80"/>
      <c r="AB126" s="80"/>
      <c r="AC126" s="80"/>
      <c r="AD126" s="125">
        <f t="shared" si="94"/>
        <v>9</v>
      </c>
      <c r="AE126" s="125"/>
      <c r="AF126" s="126"/>
      <c r="AG126" s="23"/>
    </row>
    <row r="127" spans="2:34" ht="16.899999999999999" customHeight="1" x14ac:dyDescent="0.35">
      <c r="B127" s="22"/>
      <c r="E127" s="75" t="s">
        <v>87</v>
      </c>
      <c r="F127" s="76"/>
      <c r="G127" s="76"/>
      <c r="H127" s="76"/>
      <c r="I127" s="80"/>
      <c r="J127" s="80"/>
      <c r="K127" s="80"/>
      <c r="L127" s="80"/>
      <c r="M127" s="80"/>
      <c r="N127" s="80"/>
      <c r="O127" s="80"/>
      <c r="P127" s="125">
        <f t="shared" si="93"/>
        <v>9</v>
      </c>
      <c r="Q127" s="125"/>
      <c r="R127" s="125"/>
      <c r="S127" s="76" t="s">
        <v>76</v>
      </c>
      <c r="T127" s="76"/>
      <c r="U127" s="76"/>
      <c r="V127" s="76"/>
      <c r="W127" s="80"/>
      <c r="X127" s="80"/>
      <c r="Y127" s="80"/>
      <c r="Z127" s="80"/>
      <c r="AA127" s="80"/>
      <c r="AB127" s="80"/>
      <c r="AC127" s="80"/>
      <c r="AD127" s="125">
        <f t="shared" si="94"/>
        <v>9</v>
      </c>
      <c r="AE127" s="125"/>
      <c r="AF127" s="126"/>
      <c r="AG127" s="23"/>
    </row>
    <row r="128" spans="2:34" ht="16.899999999999999" customHeight="1" x14ac:dyDescent="0.35">
      <c r="B128" s="22"/>
      <c r="E128" s="75" t="s">
        <v>90</v>
      </c>
      <c r="F128" s="76"/>
      <c r="G128" s="76"/>
      <c r="H128" s="76"/>
      <c r="I128" s="80"/>
      <c r="J128" s="80"/>
      <c r="K128" s="80"/>
      <c r="L128" s="80"/>
      <c r="M128" s="80"/>
      <c r="N128" s="80"/>
      <c r="O128" s="80"/>
      <c r="P128" s="125">
        <f t="shared" si="93"/>
        <v>9</v>
      </c>
      <c r="Q128" s="125"/>
      <c r="R128" s="125"/>
      <c r="S128" s="76" t="s">
        <v>88</v>
      </c>
      <c r="T128" s="76"/>
      <c r="U128" s="76"/>
      <c r="V128" s="76"/>
      <c r="W128" s="80"/>
      <c r="X128" s="80"/>
      <c r="Y128" s="80"/>
      <c r="Z128" s="80"/>
      <c r="AA128" s="80"/>
      <c r="AB128" s="80"/>
      <c r="AC128" s="80"/>
      <c r="AD128" s="125">
        <f t="shared" si="94"/>
        <v>9</v>
      </c>
      <c r="AE128" s="125"/>
      <c r="AF128" s="126"/>
      <c r="AG128" s="23"/>
    </row>
    <row r="129" spans="2:34" ht="16.899999999999999" customHeight="1" x14ac:dyDescent="0.35">
      <c r="B129" s="22"/>
      <c r="E129" s="75" t="s">
        <v>80</v>
      </c>
      <c r="F129" s="76"/>
      <c r="G129" s="76"/>
      <c r="H129" s="76"/>
      <c r="I129" s="80"/>
      <c r="J129" s="80"/>
      <c r="K129" s="80"/>
      <c r="L129" s="80"/>
      <c r="M129" s="80"/>
      <c r="N129" s="80"/>
      <c r="O129" s="80"/>
      <c r="P129" s="125">
        <f t="shared" si="93"/>
        <v>9</v>
      </c>
      <c r="Q129" s="125"/>
      <c r="R129" s="125"/>
      <c r="S129" s="76" t="s">
        <v>79</v>
      </c>
      <c r="T129" s="76"/>
      <c r="U129" s="76"/>
      <c r="V129" s="76"/>
      <c r="W129" s="80"/>
      <c r="X129" s="80"/>
      <c r="Y129" s="80"/>
      <c r="Z129" s="80"/>
      <c r="AA129" s="80"/>
      <c r="AB129" s="80"/>
      <c r="AC129" s="80"/>
      <c r="AD129" s="125">
        <f t="shared" si="94"/>
        <v>9</v>
      </c>
      <c r="AE129" s="125"/>
      <c r="AF129" s="126"/>
      <c r="AG129" s="23"/>
    </row>
    <row r="130" spans="2:34" ht="16.899999999999999" customHeight="1" x14ac:dyDescent="0.35">
      <c r="B130" s="22"/>
      <c r="E130" s="75" t="s">
        <v>91</v>
      </c>
      <c r="F130" s="76"/>
      <c r="G130" s="76"/>
      <c r="H130" s="76"/>
      <c r="I130" s="80"/>
      <c r="J130" s="80"/>
      <c r="K130" s="80"/>
      <c r="L130" s="80"/>
      <c r="M130" s="80"/>
      <c r="N130" s="80"/>
      <c r="O130" s="80"/>
      <c r="P130" s="125">
        <f t="shared" si="93"/>
        <v>9</v>
      </c>
      <c r="Q130" s="125"/>
      <c r="R130" s="125"/>
      <c r="S130" s="76" t="s">
        <v>89</v>
      </c>
      <c r="T130" s="76"/>
      <c r="U130" s="76"/>
      <c r="V130" s="76"/>
      <c r="W130" s="80"/>
      <c r="X130" s="80"/>
      <c r="Y130" s="80"/>
      <c r="Z130" s="80"/>
      <c r="AA130" s="80"/>
      <c r="AB130" s="80"/>
      <c r="AC130" s="80"/>
      <c r="AD130" s="125">
        <f t="shared" si="94"/>
        <v>9</v>
      </c>
      <c r="AE130" s="125"/>
      <c r="AF130" s="126"/>
      <c r="AG130" s="23"/>
    </row>
    <row r="131" spans="2:34" ht="16.899999999999999" customHeight="1" x14ac:dyDescent="0.35">
      <c r="B131" s="22"/>
      <c r="E131" s="75" t="s">
        <v>82</v>
      </c>
      <c r="F131" s="76"/>
      <c r="G131" s="76"/>
      <c r="H131" s="76"/>
      <c r="I131" s="80"/>
      <c r="J131" s="80"/>
      <c r="K131" s="80"/>
      <c r="L131" s="80"/>
      <c r="M131" s="80"/>
      <c r="N131" s="80"/>
      <c r="O131" s="80"/>
      <c r="P131" s="125">
        <f t="shared" si="93"/>
        <v>9</v>
      </c>
      <c r="Q131" s="125"/>
      <c r="R131" s="125"/>
      <c r="S131" s="76" t="s">
        <v>81</v>
      </c>
      <c r="T131" s="76"/>
      <c r="U131" s="76"/>
      <c r="V131" s="76"/>
      <c r="W131" s="80"/>
      <c r="X131" s="80"/>
      <c r="Y131" s="80"/>
      <c r="Z131" s="80"/>
      <c r="AA131" s="80"/>
      <c r="AB131" s="80"/>
      <c r="AC131" s="80"/>
      <c r="AD131" s="125">
        <f t="shared" si="94"/>
        <v>9</v>
      </c>
      <c r="AE131" s="125"/>
      <c r="AF131" s="126"/>
      <c r="AG131" s="23"/>
    </row>
    <row r="132" spans="2:34" ht="16.899999999999999" customHeight="1" x14ac:dyDescent="0.35">
      <c r="B132" s="22"/>
      <c r="E132" s="75" t="s">
        <v>84</v>
      </c>
      <c r="F132" s="76"/>
      <c r="G132" s="76"/>
      <c r="H132" s="76"/>
      <c r="I132" s="80"/>
      <c r="J132" s="80"/>
      <c r="K132" s="80"/>
      <c r="L132" s="80"/>
      <c r="M132" s="80" t="s">
        <v>252</v>
      </c>
      <c r="N132" s="80"/>
      <c r="O132" s="80"/>
      <c r="P132" s="125">
        <f>IF(M132="-",9,1)</f>
        <v>9</v>
      </c>
      <c r="Q132" s="125"/>
      <c r="R132" s="125"/>
      <c r="S132" s="76" t="s">
        <v>74</v>
      </c>
      <c r="T132" s="76"/>
      <c r="U132" s="76"/>
      <c r="V132" s="76"/>
      <c r="W132" s="80"/>
      <c r="X132" s="80"/>
      <c r="Y132" s="80"/>
      <c r="Z132" s="80"/>
      <c r="AA132" s="80"/>
      <c r="AB132" s="80"/>
      <c r="AC132" s="80"/>
      <c r="AD132" s="125">
        <f t="shared" si="94"/>
        <v>9</v>
      </c>
      <c r="AE132" s="125"/>
      <c r="AF132" s="126"/>
      <c r="AG132" s="23"/>
    </row>
    <row r="133" spans="2:34" ht="16.899999999999999" customHeight="1" thickBot="1" x14ac:dyDescent="0.4">
      <c r="B133" s="22"/>
      <c r="E133" s="77" t="s">
        <v>79</v>
      </c>
      <c r="F133" s="78"/>
      <c r="G133" s="78"/>
      <c r="H133" s="78"/>
      <c r="I133" s="81"/>
      <c r="J133" s="81"/>
      <c r="K133" s="81"/>
      <c r="L133" s="81"/>
      <c r="M133" s="81"/>
      <c r="N133" s="81"/>
      <c r="O133" s="81"/>
      <c r="P133" s="127">
        <f>IF(M133&lt;0.1,9,1)</f>
        <v>9</v>
      </c>
      <c r="Q133" s="127"/>
      <c r="R133" s="127"/>
      <c r="S133" s="78" t="s">
        <v>83</v>
      </c>
      <c r="T133" s="78"/>
      <c r="U133" s="78"/>
      <c r="V133" s="78"/>
      <c r="W133" s="81"/>
      <c r="X133" s="81"/>
      <c r="Y133" s="81"/>
      <c r="Z133" s="81"/>
      <c r="AA133" s="81" t="s">
        <v>252</v>
      </c>
      <c r="AB133" s="81"/>
      <c r="AC133" s="81"/>
      <c r="AD133" s="127">
        <f>IF(AA133="-",9,1)</f>
        <v>9</v>
      </c>
      <c r="AE133" s="127"/>
      <c r="AF133" s="128"/>
      <c r="AG133" s="23"/>
    </row>
    <row r="134" spans="2:34" ht="16.899999999999999" customHeight="1" x14ac:dyDescent="0.35">
      <c r="B134" s="22"/>
      <c r="E134" s="9" t="s">
        <v>277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G134" s="23"/>
    </row>
    <row r="135" spans="2:34" ht="16.899999999999999" customHeight="1" x14ac:dyDescent="0.35">
      <c r="B135" s="22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33">
        <f>COUNTIF(P118:R133,1)</f>
        <v>0</v>
      </c>
      <c r="Q135" s="33">
        <f>COUNTIF(P118:R133,6)</f>
        <v>0</v>
      </c>
      <c r="R135" s="33"/>
      <c r="S135" s="33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3">
        <f>COUNTIF(AD118:AF133,1)</f>
        <v>0</v>
      </c>
      <c r="AE135" s="33">
        <f>COUNTIF(AD118:AF133,6)</f>
        <v>0</v>
      </c>
      <c r="AG135" s="23"/>
    </row>
    <row r="136" spans="2:34" ht="16.899999999999999" customHeight="1" x14ac:dyDescent="0.35">
      <c r="B136" s="22"/>
      <c r="E136" s="67" t="s">
        <v>85</v>
      </c>
      <c r="F136" s="67"/>
      <c r="G136" s="67"/>
      <c r="H136" s="67"/>
      <c r="I136" s="67"/>
      <c r="J136" s="67"/>
      <c r="K136" s="67"/>
      <c r="L136" s="67"/>
      <c r="M136" s="67"/>
      <c r="N136" s="67"/>
      <c r="O136" s="124"/>
      <c r="P136" s="91">
        <f>MIN(P118:R133,AD118:AF133)</f>
        <v>9</v>
      </c>
      <c r="Q136" s="91"/>
      <c r="R136" s="91"/>
      <c r="S136" s="91"/>
      <c r="AG136" s="23"/>
    </row>
    <row r="137" spans="2:34" ht="16.899999999999999" customHeight="1" x14ac:dyDescent="0.35">
      <c r="B137" s="22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2"/>
      <c r="Q137" s="2"/>
      <c r="R137" s="2"/>
      <c r="S137" s="2"/>
      <c r="AG137" s="23"/>
    </row>
    <row r="138" spans="2:34" ht="16.899999999999999" customHeight="1" x14ac:dyDescent="0.35">
      <c r="B138" s="22"/>
      <c r="C138" s="14" t="s">
        <v>107</v>
      </c>
      <c r="D138" s="14"/>
      <c r="E138" s="14" t="s">
        <v>131</v>
      </c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2"/>
      <c r="Q138" s="2"/>
      <c r="R138" s="2"/>
      <c r="S138" s="2"/>
      <c r="AG138" s="23"/>
    </row>
    <row r="139" spans="2:34" ht="16.899999999999999" customHeight="1" thickBot="1" x14ac:dyDescent="0.4">
      <c r="B139" s="22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2"/>
      <c r="Q139" s="2"/>
      <c r="R139" s="2"/>
      <c r="S139" s="2"/>
      <c r="AG139" s="23"/>
    </row>
    <row r="140" spans="2:34" ht="25.15" customHeight="1" x14ac:dyDescent="0.35">
      <c r="B140" s="22"/>
      <c r="E140" s="135" t="s">
        <v>73</v>
      </c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 t="s">
        <v>78</v>
      </c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7"/>
      <c r="AG140" s="30"/>
      <c r="AH140" s="14"/>
    </row>
    <row r="141" spans="2:34" s="4" customFormat="1" ht="37.15" customHeight="1" thickBot="1" x14ac:dyDescent="0.4">
      <c r="B141" s="25"/>
      <c r="E141" s="138" t="s">
        <v>49</v>
      </c>
      <c r="F141" s="134"/>
      <c r="G141" s="134"/>
      <c r="H141" s="134"/>
      <c r="I141" s="133" t="s">
        <v>118</v>
      </c>
      <c r="J141" s="133"/>
      <c r="K141" s="133"/>
      <c r="L141" s="133"/>
      <c r="M141" s="133" t="s">
        <v>264</v>
      </c>
      <c r="N141" s="133"/>
      <c r="O141" s="133"/>
      <c r="P141" s="129" t="s">
        <v>8</v>
      </c>
      <c r="Q141" s="129"/>
      <c r="R141" s="129"/>
      <c r="S141" s="134" t="s">
        <v>49</v>
      </c>
      <c r="T141" s="134"/>
      <c r="U141" s="134"/>
      <c r="V141" s="134"/>
      <c r="W141" s="133" t="s">
        <v>118</v>
      </c>
      <c r="X141" s="133"/>
      <c r="Y141" s="133"/>
      <c r="Z141" s="133"/>
      <c r="AA141" s="133" t="s">
        <v>264</v>
      </c>
      <c r="AB141" s="133"/>
      <c r="AC141" s="133"/>
      <c r="AD141" s="129" t="s">
        <v>8</v>
      </c>
      <c r="AE141" s="129"/>
      <c r="AF141" s="130"/>
      <c r="AG141" s="26"/>
    </row>
    <row r="142" spans="2:34" ht="16.899999999999999" customHeight="1" x14ac:dyDescent="0.35">
      <c r="B142" s="22"/>
      <c r="E142" s="73" t="s">
        <v>77</v>
      </c>
      <c r="F142" s="74"/>
      <c r="G142" s="74"/>
      <c r="H142" s="74"/>
      <c r="I142" s="79"/>
      <c r="J142" s="79"/>
      <c r="K142" s="79"/>
      <c r="L142" s="79"/>
      <c r="M142" s="79"/>
      <c r="N142" s="79"/>
      <c r="O142" s="79"/>
      <c r="P142" s="131">
        <f>IF(M142&lt;0.1,9,1)</f>
        <v>9</v>
      </c>
      <c r="Q142" s="131"/>
      <c r="R142" s="131"/>
      <c r="S142" s="74" t="s">
        <v>77</v>
      </c>
      <c r="T142" s="74"/>
      <c r="U142" s="74"/>
      <c r="V142" s="74"/>
      <c r="W142" s="79"/>
      <c r="X142" s="79"/>
      <c r="Y142" s="79"/>
      <c r="Z142" s="79"/>
      <c r="AA142" s="79"/>
      <c r="AB142" s="79"/>
      <c r="AC142" s="79"/>
      <c r="AD142" s="131">
        <f>IF(AA142&lt;0.1,9,1)</f>
        <v>9</v>
      </c>
      <c r="AE142" s="131"/>
      <c r="AF142" s="132"/>
      <c r="AG142" s="23"/>
    </row>
    <row r="143" spans="2:34" ht="16.899999999999999" customHeight="1" x14ac:dyDescent="0.35">
      <c r="B143" s="22"/>
      <c r="E143" s="75" t="s">
        <v>86</v>
      </c>
      <c r="F143" s="76"/>
      <c r="G143" s="76"/>
      <c r="H143" s="76"/>
      <c r="I143" s="80"/>
      <c r="J143" s="80"/>
      <c r="K143" s="80"/>
      <c r="L143" s="80"/>
      <c r="M143" s="80"/>
      <c r="N143" s="80"/>
      <c r="O143" s="80"/>
      <c r="P143" s="125">
        <f t="shared" ref="P143:P148" si="95">IF(M143&lt;0.1,9,1)</f>
        <v>9</v>
      </c>
      <c r="Q143" s="125"/>
      <c r="R143" s="125"/>
      <c r="S143" s="76" t="s">
        <v>86</v>
      </c>
      <c r="T143" s="76"/>
      <c r="U143" s="76"/>
      <c r="V143" s="76"/>
      <c r="W143" s="80"/>
      <c r="X143" s="80"/>
      <c r="Y143" s="80"/>
      <c r="Z143" s="80"/>
      <c r="AA143" s="80"/>
      <c r="AB143" s="80"/>
      <c r="AC143" s="80"/>
      <c r="AD143" s="125">
        <f t="shared" ref="AD143:AD149" si="96">IF(AA143&lt;0.1,9,1)</f>
        <v>9</v>
      </c>
      <c r="AE143" s="125"/>
      <c r="AF143" s="126"/>
      <c r="AG143" s="23"/>
    </row>
    <row r="144" spans="2:34" ht="16.899999999999999" customHeight="1" x14ac:dyDescent="0.35">
      <c r="B144" s="22"/>
      <c r="E144" s="75" t="s">
        <v>87</v>
      </c>
      <c r="F144" s="76"/>
      <c r="G144" s="76"/>
      <c r="H144" s="76"/>
      <c r="I144" s="80"/>
      <c r="J144" s="80"/>
      <c r="K144" s="80"/>
      <c r="L144" s="80"/>
      <c r="M144" s="80"/>
      <c r="N144" s="80"/>
      <c r="O144" s="80"/>
      <c r="P144" s="125">
        <f t="shared" si="95"/>
        <v>9</v>
      </c>
      <c r="Q144" s="125"/>
      <c r="R144" s="125"/>
      <c r="S144" s="76" t="s">
        <v>87</v>
      </c>
      <c r="T144" s="76"/>
      <c r="U144" s="76"/>
      <c r="V144" s="76"/>
      <c r="W144" s="80"/>
      <c r="X144" s="80"/>
      <c r="Y144" s="80"/>
      <c r="Z144" s="80"/>
      <c r="AA144" s="80"/>
      <c r="AB144" s="80"/>
      <c r="AC144" s="80"/>
      <c r="AD144" s="125">
        <f t="shared" si="96"/>
        <v>9</v>
      </c>
      <c r="AE144" s="125"/>
      <c r="AF144" s="126"/>
      <c r="AG144" s="23"/>
    </row>
    <row r="145" spans="2:33" ht="16.899999999999999" customHeight="1" x14ac:dyDescent="0.35">
      <c r="B145" s="22"/>
      <c r="E145" s="75" t="s">
        <v>90</v>
      </c>
      <c r="F145" s="76"/>
      <c r="G145" s="76"/>
      <c r="H145" s="76"/>
      <c r="I145" s="80"/>
      <c r="J145" s="80"/>
      <c r="K145" s="80"/>
      <c r="L145" s="80"/>
      <c r="M145" s="80"/>
      <c r="N145" s="80"/>
      <c r="O145" s="80"/>
      <c r="P145" s="125">
        <f t="shared" si="95"/>
        <v>9</v>
      </c>
      <c r="Q145" s="125"/>
      <c r="R145" s="125"/>
      <c r="S145" s="76" t="s">
        <v>90</v>
      </c>
      <c r="T145" s="76"/>
      <c r="U145" s="76"/>
      <c r="V145" s="76"/>
      <c r="W145" s="80"/>
      <c r="X145" s="80"/>
      <c r="Y145" s="80"/>
      <c r="Z145" s="80"/>
      <c r="AA145" s="80"/>
      <c r="AB145" s="80"/>
      <c r="AC145" s="80"/>
      <c r="AD145" s="125">
        <f t="shared" si="96"/>
        <v>9</v>
      </c>
      <c r="AE145" s="125"/>
      <c r="AF145" s="126"/>
      <c r="AG145" s="23"/>
    </row>
    <row r="146" spans="2:33" ht="16.899999999999999" customHeight="1" x14ac:dyDescent="0.35">
      <c r="B146" s="22"/>
      <c r="E146" s="75" t="s">
        <v>80</v>
      </c>
      <c r="F146" s="76"/>
      <c r="G146" s="76"/>
      <c r="H146" s="76"/>
      <c r="I146" s="80"/>
      <c r="J146" s="80"/>
      <c r="K146" s="80"/>
      <c r="L146" s="80"/>
      <c r="M146" s="80"/>
      <c r="N146" s="80"/>
      <c r="O146" s="80"/>
      <c r="P146" s="125">
        <f t="shared" si="95"/>
        <v>9</v>
      </c>
      <c r="Q146" s="125"/>
      <c r="R146" s="125"/>
      <c r="S146" s="76" t="s">
        <v>80</v>
      </c>
      <c r="T146" s="76"/>
      <c r="U146" s="76"/>
      <c r="V146" s="76"/>
      <c r="W146" s="80"/>
      <c r="X146" s="80"/>
      <c r="Y146" s="80"/>
      <c r="Z146" s="80"/>
      <c r="AA146" s="80"/>
      <c r="AB146" s="80"/>
      <c r="AC146" s="80"/>
      <c r="AD146" s="125">
        <f t="shared" si="96"/>
        <v>9</v>
      </c>
      <c r="AE146" s="125"/>
      <c r="AF146" s="126"/>
      <c r="AG146" s="23"/>
    </row>
    <row r="147" spans="2:33" ht="16.899999999999999" customHeight="1" x14ac:dyDescent="0.35">
      <c r="B147" s="22"/>
      <c r="E147" s="75" t="s">
        <v>91</v>
      </c>
      <c r="F147" s="76"/>
      <c r="G147" s="76"/>
      <c r="H147" s="76"/>
      <c r="I147" s="80"/>
      <c r="J147" s="80"/>
      <c r="K147" s="80"/>
      <c r="L147" s="80"/>
      <c r="M147" s="80"/>
      <c r="N147" s="80"/>
      <c r="O147" s="80"/>
      <c r="P147" s="125">
        <f t="shared" si="95"/>
        <v>9</v>
      </c>
      <c r="Q147" s="125"/>
      <c r="R147" s="125"/>
      <c r="S147" s="76" t="s">
        <v>91</v>
      </c>
      <c r="T147" s="76"/>
      <c r="U147" s="76"/>
      <c r="V147" s="76"/>
      <c r="W147" s="80"/>
      <c r="X147" s="80"/>
      <c r="Y147" s="80"/>
      <c r="Z147" s="80"/>
      <c r="AA147" s="80"/>
      <c r="AB147" s="80"/>
      <c r="AC147" s="80"/>
      <c r="AD147" s="125">
        <f t="shared" si="96"/>
        <v>9</v>
      </c>
      <c r="AE147" s="125"/>
      <c r="AF147" s="126"/>
      <c r="AG147" s="23"/>
    </row>
    <row r="148" spans="2:33" ht="16.899999999999999" customHeight="1" x14ac:dyDescent="0.35">
      <c r="B148" s="22"/>
      <c r="E148" s="75" t="s">
        <v>82</v>
      </c>
      <c r="F148" s="76"/>
      <c r="G148" s="76"/>
      <c r="H148" s="76"/>
      <c r="I148" s="80"/>
      <c r="J148" s="80"/>
      <c r="K148" s="80"/>
      <c r="L148" s="80"/>
      <c r="M148" s="80"/>
      <c r="N148" s="80"/>
      <c r="O148" s="80"/>
      <c r="P148" s="125">
        <f t="shared" si="95"/>
        <v>9</v>
      </c>
      <c r="Q148" s="125"/>
      <c r="R148" s="125"/>
      <c r="S148" s="76" t="s">
        <v>82</v>
      </c>
      <c r="T148" s="76"/>
      <c r="U148" s="76"/>
      <c r="V148" s="76"/>
      <c r="W148" s="80"/>
      <c r="X148" s="80"/>
      <c r="Y148" s="80"/>
      <c r="Z148" s="80"/>
      <c r="AA148" s="80"/>
      <c r="AB148" s="80"/>
      <c r="AC148" s="80"/>
      <c r="AD148" s="125">
        <f t="shared" si="96"/>
        <v>9</v>
      </c>
      <c r="AE148" s="125"/>
      <c r="AF148" s="126"/>
      <c r="AG148" s="23"/>
    </row>
    <row r="149" spans="2:33" ht="16.899999999999999" customHeight="1" x14ac:dyDescent="0.35">
      <c r="B149" s="22"/>
      <c r="E149" s="75" t="s">
        <v>84</v>
      </c>
      <c r="F149" s="76"/>
      <c r="G149" s="76"/>
      <c r="H149" s="76"/>
      <c r="I149" s="80"/>
      <c r="J149" s="80"/>
      <c r="K149" s="80"/>
      <c r="L149" s="80"/>
      <c r="M149" s="80" t="s">
        <v>252</v>
      </c>
      <c r="N149" s="80"/>
      <c r="O149" s="80"/>
      <c r="P149" s="125">
        <f>IF(M149="-",9,1)</f>
        <v>9</v>
      </c>
      <c r="Q149" s="125"/>
      <c r="R149" s="125"/>
      <c r="S149" s="76" t="s">
        <v>77</v>
      </c>
      <c r="T149" s="76"/>
      <c r="U149" s="76"/>
      <c r="V149" s="76"/>
      <c r="W149" s="80"/>
      <c r="X149" s="80"/>
      <c r="Y149" s="80"/>
      <c r="Z149" s="80"/>
      <c r="AA149" s="80"/>
      <c r="AB149" s="80"/>
      <c r="AC149" s="80"/>
      <c r="AD149" s="125">
        <f t="shared" si="96"/>
        <v>9</v>
      </c>
      <c r="AE149" s="125"/>
      <c r="AF149" s="126"/>
      <c r="AG149" s="23"/>
    </row>
    <row r="150" spans="2:33" ht="16.899999999999999" customHeight="1" thickBot="1" x14ac:dyDescent="0.4">
      <c r="B150" s="22"/>
      <c r="E150" s="77" t="s">
        <v>80</v>
      </c>
      <c r="F150" s="78"/>
      <c r="G150" s="78"/>
      <c r="H150" s="78"/>
      <c r="I150" s="81"/>
      <c r="J150" s="81"/>
      <c r="K150" s="81"/>
      <c r="L150" s="81"/>
      <c r="M150" s="81"/>
      <c r="N150" s="81"/>
      <c r="O150" s="81"/>
      <c r="P150" s="127">
        <f>IF(M150&lt;0.1,9,1)</f>
        <v>9</v>
      </c>
      <c r="Q150" s="127"/>
      <c r="R150" s="127"/>
      <c r="S150" s="78" t="s">
        <v>83</v>
      </c>
      <c r="T150" s="78"/>
      <c r="U150" s="78"/>
      <c r="V150" s="78"/>
      <c r="W150" s="81"/>
      <c r="X150" s="81"/>
      <c r="Y150" s="81"/>
      <c r="Z150" s="81"/>
      <c r="AA150" s="81" t="s">
        <v>252</v>
      </c>
      <c r="AB150" s="81"/>
      <c r="AC150" s="81"/>
      <c r="AD150" s="127">
        <f>IF(AA150="-",9,1)</f>
        <v>9</v>
      </c>
      <c r="AE150" s="127"/>
      <c r="AF150" s="128"/>
      <c r="AG150" s="23"/>
    </row>
    <row r="151" spans="2:33" ht="16.899999999999999" customHeight="1" x14ac:dyDescent="0.35">
      <c r="B151" s="22"/>
      <c r="E151" s="9" t="s">
        <v>277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G151" s="23"/>
    </row>
    <row r="152" spans="2:33" ht="16.899999999999999" customHeight="1" x14ac:dyDescent="0.35">
      <c r="B152" s="22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33">
        <f>COUNTIF(P142:R150,1)</f>
        <v>0</v>
      </c>
      <c r="Q152" s="33">
        <f>COUNTIF(P142:R150,6)</f>
        <v>0</v>
      </c>
      <c r="R152" s="33"/>
      <c r="S152" s="33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3">
        <f>COUNTIF(AD142:AF150,1)</f>
        <v>0</v>
      </c>
      <c r="AE152" s="33">
        <f>COUNTIF(AD142:AF150,6)</f>
        <v>0</v>
      </c>
      <c r="AG152" s="23"/>
    </row>
    <row r="153" spans="2:33" ht="16.899999999999999" customHeight="1" x14ac:dyDescent="0.35">
      <c r="B153" s="22"/>
      <c r="E153" s="67" t="s">
        <v>92</v>
      </c>
      <c r="F153" s="67"/>
      <c r="G153" s="67"/>
      <c r="H153" s="67"/>
      <c r="I153" s="67"/>
      <c r="J153" s="67"/>
      <c r="K153" s="67"/>
      <c r="L153" s="67"/>
      <c r="M153" s="67"/>
      <c r="N153" s="67"/>
      <c r="O153" s="124"/>
      <c r="P153" s="91">
        <f>MIN(P142:R150,AD142:AF150)</f>
        <v>9</v>
      </c>
      <c r="Q153" s="91"/>
      <c r="R153" s="91"/>
      <c r="S153" s="91"/>
      <c r="AG153" s="23"/>
    </row>
    <row r="154" spans="2:33" ht="16.899999999999999" customHeight="1" x14ac:dyDescent="0.35">
      <c r="B154" s="22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2"/>
      <c r="Q154" s="2"/>
      <c r="R154" s="2"/>
      <c r="S154" s="2"/>
      <c r="AG154" s="23"/>
    </row>
    <row r="155" spans="2:33" ht="16.899999999999999" customHeight="1" x14ac:dyDescent="0.35">
      <c r="B155" s="22"/>
      <c r="C155" s="14" t="s">
        <v>108</v>
      </c>
      <c r="E155" s="17" t="s">
        <v>132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2"/>
      <c r="Q155" s="2"/>
      <c r="R155" s="2"/>
      <c r="S155" s="2"/>
      <c r="AG155" s="23"/>
    </row>
    <row r="156" spans="2:33" ht="16.899999999999999" customHeight="1" thickBot="1" x14ac:dyDescent="0.4">
      <c r="B156" s="22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2"/>
      <c r="Q156" s="2"/>
      <c r="R156" s="2"/>
      <c r="S156" s="2"/>
      <c r="AG156" s="23"/>
    </row>
    <row r="157" spans="2:33" ht="37.15" customHeight="1" thickBot="1" x14ac:dyDescent="0.4">
      <c r="B157" s="22"/>
      <c r="E157" s="140" t="s">
        <v>109</v>
      </c>
      <c r="F157" s="141"/>
      <c r="G157" s="141"/>
      <c r="H157" s="141"/>
      <c r="I157" s="141"/>
      <c r="J157" s="102" t="s">
        <v>110</v>
      </c>
      <c r="K157" s="102"/>
      <c r="L157" s="102"/>
      <c r="M157" s="102"/>
      <c r="N157" s="139" t="s">
        <v>8</v>
      </c>
      <c r="O157" s="139"/>
      <c r="P157" s="139"/>
      <c r="Q157" s="139"/>
      <c r="R157" s="139"/>
      <c r="S157" s="65" t="s">
        <v>6</v>
      </c>
      <c r="T157" s="65"/>
      <c r="U157" s="65"/>
      <c r="V157" s="65"/>
      <c r="W157" s="65"/>
      <c r="X157" s="66"/>
      <c r="Z157" s="14"/>
      <c r="AA157" s="14"/>
      <c r="AB157" s="14"/>
      <c r="AG157" s="23"/>
    </row>
    <row r="158" spans="2:33" ht="16.899999999999999" customHeight="1" x14ac:dyDescent="0.35">
      <c r="B158" s="22"/>
      <c r="E158" s="73" t="s">
        <v>95</v>
      </c>
      <c r="F158" s="74"/>
      <c r="G158" s="74"/>
      <c r="H158" s="74"/>
      <c r="I158" s="74"/>
      <c r="J158" s="79"/>
      <c r="K158" s="79"/>
      <c r="L158" s="79"/>
      <c r="M158" s="79"/>
      <c r="N158" s="114">
        <f>IF(J158="No Trip",1,9)</f>
        <v>9</v>
      </c>
      <c r="O158" s="114"/>
      <c r="P158" s="114"/>
      <c r="Q158" s="114"/>
      <c r="R158" s="114"/>
      <c r="S158" s="118"/>
      <c r="T158" s="118"/>
      <c r="U158" s="118"/>
      <c r="V158" s="118"/>
      <c r="W158" s="118"/>
      <c r="X158" s="119"/>
      <c r="AG158" s="23"/>
    </row>
    <row r="159" spans="2:33" ht="16.899999999999999" customHeight="1" thickBot="1" x14ac:dyDescent="0.4">
      <c r="B159" s="22"/>
      <c r="E159" s="77" t="s">
        <v>96</v>
      </c>
      <c r="F159" s="78"/>
      <c r="G159" s="78"/>
      <c r="H159" s="78"/>
      <c r="I159" s="78"/>
      <c r="J159" s="81" t="s">
        <v>254</v>
      </c>
      <c r="K159" s="81"/>
      <c r="L159" s="81"/>
      <c r="M159" s="81"/>
      <c r="N159" s="113">
        <f>IF(J159="Trip",1,9)</f>
        <v>9</v>
      </c>
      <c r="O159" s="113"/>
      <c r="P159" s="113"/>
      <c r="Q159" s="113"/>
      <c r="R159" s="113"/>
      <c r="S159" s="117"/>
      <c r="T159" s="117"/>
      <c r="U159" s="117"/>
      <c r="V159" s="117"/>
      <c r="W159" s="117"/>
      <c r="X159" s="120"/>
      <c r="AG159" s="23"/>
    </row>
    <row r="160" spans="2:33" ht="16.899999999999999" customHeight="1" x14ac:dyDescent="0.35">
      <c r="B160" s="22"/>
      <c r="E160" s="3"/>
      <c r="F160" s="3"/>
      <c r="G160" s="3"/>
      <c r="H160" s="3"/>
      <c r="I160" s="3"/>
      <c r="J160" s="3"/>
      <c r="K160" s="3"/>
      <c r="L160" s="3"/>
      <c r="M160" s="3"/>
      <c r="N160" s="18"/>
      <c r="O160" s="18"/>
      <c r="P160" s="18"/>
      <c r="Q160" s="18"/>
      <c r="R160" s="18"/>
      <c r="S160" s="2"/>
      <c r="T160" s="2"/>
      <c r="U160" s="2"/>
      <c r="V160" s="2"/>
      <c r="W160" s="2"/>
      <c r="X160" s="2"/>
      <c r="AG160" s="23"/>
    </row>
    <row r="161" spans="2:33" ht="16.899999999999999" customHeight="1" x14ac:dyDescent="0.35">
      <c r="B161" s="22"/>
      <c r="E161" s="67" t="s">
        <v>114</v>
      </c>
      <c r="F161" s="67"/>
      <c r="G161" s="67"/>
      <c r="H161" s="67"/>
      <c r="I161" s="67"/>
      <c r="J161" s="67"/>
      <c r="K161" s="67"/>
      <c r="L161" s="67"/>
      <c r="M161" s="67"/>
      <c r="N161" s="67"/>
      <c r="O161" s="124"/>
      <c r="P161" s="91">
        <f>MIN(N158:R159)</f>
        <v>9</v>
      </c>
      <c r="Q161" s="91"/>
      <c r="R161" s="91"/>
      <c r="S161" s="91"/>
      <c r="T161" s="2"/>
      <c r="U161" s="2"/>
      <c r="V161" s="2"/>
      <c r="W161" s="2"/>
      <c r="X161" s="2"/>
      <c r="AG161" s="23"/>
    </row>
    <row r="162" spans="2:33" ht="16.899999999999999" customHeight="1" x14ac:dyDescent="0.35">
      <c r="B162" s="22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2"/>
      <c r="Q162" s="2"/>
      <c r="R162" s="2"/>
      <c r="S162" s="2"/>
      <c r="AG162" s="23"/>
    </row>
    <row r="163" spans="2:33" ht="16.899999999999999" customHeight="1" x14ac:dyDescent="0.35">
      <c r="B163" s="22"/>
      <c r="C163" s="14" t="s">
        <v>111</v>
      </c>
      <c r="D163" s="14"/>
      <c r="E163" s="17" t="s">
        <v>247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2"/>
      <c r="Q163" s="2"/>
      <c r="R163" s="2"/>
      <c r="S163" s="2"/>
      <c r="AG163" s="23"/>
    </row>
    <row r="164" spans="2:33" ht="16.899999999999999" customHeight="1" thickBot="1" x14ac:dyDescent="0.4">
      <c r="B164" s="22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2"/>
      <c r="Q164" s="2"/>
      <c r="R164" s="2"/>
      <c r="S164" s="2"/>
      <c r="AG164" s="23"/>
    </row>
    <row r="165" spans="2:33" ht="37.15" customHeight="1" thickBot="1" x14ac:dyDescent="0.4">
      <c r="B165" s="22"/>
      <c r="E165" s="140" t="s">
        <v>112</v>
      </c>
      <c r="F165" s="141"/>
      <c r="G165" s="141"/>
      <c r="H165" s="141"/>
      <c r="I165" s="141"/>
      <c r="J165" s="141"/>
      <c r="K165" s="141"/>
      <c r="L165" s="141"/>
      <c r="M165" s="102" t="s">
        <v>278</v>
      </c>
      <c r="N165" s="102"/>
      <c r="O165" s="102"/>
      <c r="P165" s="102"/>
      <c r="Q165" s="102" t="s">
        <v>248</v>
      </c>
      <c r="R165" s="102"/>
      <c r="S165" s="102"/>
      <c r="T165" s="102"/>
      <c r="U165" s="102" t="s">
        <v>249</v>
      </c>
      <c r="V165" s="102"/>
      <c r="W165" s="102"/>
      <c r="X165" s="102"/>
      <c r="Y165" s="102" t="s">
        <v>250</v>
      </c>
      <c r="Z165" s="102"/>
      <c r="AA165" s="102"/>
      <c r="AB165" s="102"/>
      <c r="AC165" s="102" t="s">
        <v>251</v>
      </c>
      <c r="AD165" s="102"/>
      <c r="AE165" s="102"/>
      <c r="AF165" s="103"/>
      <c r="AG165" s="23"/>
    </row>
    <row r="166" spans="2:33" ht="16.899999999999999" customHeight="1" x14ac:dyDescent="0.35">
      <c r="B166" s="22"/>
      <c r="E166" s="73" t="s">
        <v>113</v>
      </c>
      <c r="F166" s="74"/>
      <c r="G166" s="74"/>
      <c r="H166" s="74"/>
      <c r="I166" s="74" t="s">
        <v>120</v>
      </c>
      <c r="J166" s="74"/>
      <c r="K166" s="74"/>
      <c r="L166" s="74"/>
      <c r="M166" s="79"/>
      <c r="N166" s="79"/>
      <c r="O166" s="79"/>
      <c r="P166" s="79"/>
      <c r="Q166" s="114">
        <f>0.25*$M166</f>
        <v>0</v>
      </c>
      <c r="R166" s="114"/>
      <c r="S166" s="114"/>
      <c r="T166" s="114"/>
      <c r="U166" s="114">
        <f>0.5*$M166</f>
        <v>0</v>
      </c>
      <c r="V166" s="114"/>
      <c r="W166" s="114"/>
      <c r="X166" s="114"/>
      <c r="Y166" s="114">
        <f>0.75*$M166</f>
        <v>0</v>
      </c>
      <c r="Z166" s="114"/>
      <c r="AA166" s="114"/>
      <c r="AB166" s="114"/>
      <c r="AC166" s="114">
        <f>$M166</f>
        <v>0</v>
      </c>
      <c r="AD166" s="114"/>
      <c r="AE166" s="114"/>
      <c r="AF166" s="115"/>
      <c r="AG166" s="23"/>
    </row>
    <row r="167" spans="2:33" ht="16.899999999999999" customHeight="1" x14ac:dyDescent="0.35">
      <c r="B167" s="22"/>
      <c r="E167" s="75"/>
      <c r="F167" s="76"/>
      <c r="G167" s="76"/>
      <c r="H167" s="76"/>
      <c r="I167" s="76" t="s">
        <v>51</v>
      </c>
      <c r="J167" s="76"/>
      <c r="K167" s="76"/>
      <c r="L167" s="76"/>
      <c r="M167" s="80"/>
      <c r="N167" s="80"/>
      <c r="O167" s="80"/>
      <c r="P167" s="80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112"/>
      <c r="AG167" s="23"/>
    </row>
    <row r="168" spans="2:33" ht="16.899999999999999" customHeight="1" x14ac:dyDescent="0.35">
      <c r="B168" s="22"/>
      <c r="E168" s="75"/>
      <c r="F168" s="76"/>
      <c r="G168" s="76"/>
      <c r="H168" s="76"/>
      <c r="I168" s="76" t="s">
        <v>121</v>
      </c>
      <c r="J168" s="76"/>
      <c r="K168" s="76"/>
      <c r="L168" s="76"/>
      <c r="M168" s="80"/>
      <c r="N168" s="80"/>
      <c r="O168" s="80"/>
      <c r="P168" s="80"/>
      <c r="Q168" s="110">
        <f>IFERROR(((Q167-Q166)/Q166),0)</f>
        <v>0</v>
      </c>
      <c r="R168" s="110"/>
      <c r="S168" s="110"/>
      <c r="T168" s="110"/>
      <c r="U168" s="110">
        <f t="shared" ref="U168" si="97">IFERROR(((U167-U166)/U166),0)</f>
        <v>0</v>
      </c>
      <c r="V168" s="110"/>
      <c r="W168" s="110"/>
      <c r="X168" s="110"/>
      <c r="Y168" s="110">
        <f t="shared" ref="Y168" si="98">IFERROR(((Y167-Y166)/Y166),0)</f>
        <v>0</v>
      </c>
      <c r="Z168" s="110"/>
      <c r="AA168" s="110"/>
      <c r="AB168" s="110"/>
      <c r="AC168" s="110">
        <f>IFERROR(((AC167-AC166)/AC166),0)</f>
        <v>0</v>
      </c>
      <c r="AD168" s="110"/>
      <c r="AE168" s="110"/>
      <c r="AF168" s="111"/>
      <c r="AG168" s="31">
        <f>COUNTIF(Q169:AF169,6)</f>
        <v>0</v>
      </c>
    </row>
    <row r="169" spans="2:33" ht="16.899999999999999" customHeight="1" thickBot="1" x14ac:dyDescent="0.4">
      <c r="B169" s="22"/>
      <c r="E169" s="77"/>
      <c r="F169" s="78"/>
      <c r="G169" s="78"/>
      <c r="H169" s="78"/>
      <c r="I169" s="78" t="s">
        <v>8</v>
      </c>
      <c r="J169" s="78"/>
      <c r="K169" s="78"/>
      <c r="L169" s="78"/>
      <c r="M169" s="81"/>
      <c r="N169" s="81"/>
      <c r="O169" s="81"/>
      <c r="P169" s="81"/>
      <c r="Q169" s="113">
        <f>IF((ABS(Q168)&lt;=0.1),9,IF((ABS(Q168)&lt;=0.2),6,1))</f>
        <v>9</v>
      </c>
      <c r="R169" s="113"/>
      <c r="S169" s="113"/>
      <c r="T169" s="113"/>
      <c r="U169" s="113">
        <f t="shared" ref="U169" si="99">IF((ABS(U168)&lt;=0.1),9,IF((ABS(U168)&lt;=0.2),6,1))</f>
        <v>9</v>
      </c>
      <c r="V169" s="113"/>
      <c r="W169" s="113"/>
      <c r="X169" s="113"/>
      <c r="Y169" s="113">
        <f t="shared" ref="Y169" si="100">IF((ABS(Y168)&lt;=0.1),9,IF((ABS(Y168)&lt;=0.2),6,1))</f>
        <v>9</v>
      </c>
      <c r="Z169" s="113"/>
      <c r="AA169" s="113"/>
      <c r="AB169" s="113"/>
      <c r="AC169" s="113">
        <f>IF((ABS(AC168)&lt;=0.1),9,IF((ABS(AC168)&lt;=0.2),6,1))</f>
        <v>9</v>
      </c>
      <c r="AD169" s="113"/>
      <c r="AE169" s="113"/>
      <c r="AF169" s="116"/>
      <c r="AG169" s="31">
        <f>COUNTIF(Q169:AF169,1)</f>
        <v>0</v>
      </c>
    </row>
    <row r="170" spans="2:33" ht="16.899999999999999" customHeight="1" x14ac:dyDescent="0.35">
      <c r="B170" s="22"/>
      <c r="E170" s="73" t="s">
        <v>269</v>
      </c>
      <c r="F170" s="74"/>
      <c r="G170" s="74"/>
      <c r="H170" s="74"/>
      <c r="I170" s="74" t="s">
        <v>120</v>
      </c>
      <c r="J170" s="74"/>
      <c r="K170" s="74"/>
      <c r="L170" s="74"/>
      <c r="M170" s="79"/>
      <c r="N170" s="79"/>
      <c r="O170" s="79"/>
      <c r="P170" s="79"/>
      <c r="Q170" s="114">
        <f>0.25*$M170</f>
        <v>0</v>
      </c>
      <c r="R170" s="114"/>
      <c r="S170" s="114"/>
      <c r="T170" s="114"/>
      <c r="U170" s="114">
        <f>0.5*$M170</f>
        <v>0</v>
      </c>
      <c r="V170" s="114"/>
      <c r="W170" s="114"/>
      <c r="X170" s="114"/>
      <c r="Y170" s="114">
        <f>0.75*$M170</f>
        <v>0</v>
      </c>
      <c r="Z170" s="114"/>
      <c r="AA170" s="114"/>
      <c r="AB170" s="114"/>
      <c r="AC170" s="114">
        <f>$M170</f>
        <v>0</v>
      </c>
      <c r="AD170" s="114"/>
      <c r="AE170" s="114"/>
      <c r="AF170" s="115"/>
      <c r="AG170" s="23"/>
    </row>
    <row r="171" spans="2:33" ht="16.899999999999999" customHeight="1" x14ac:dyDescent="0.35">
      <c r="B171" s="22"/>
      <c r="E171" s="75"/>
      <c r="F171" s="76"/>
      <c r="G171" s="76"/>
      <c r="H171" s="76"/>
      <c r="I171" s="76" t="s">
        <v>51</v>
      </c>
      <c r="J171" s="76"/>
      <c r="K171" s="76"/>
      <c r="L171" s="76"/>
      <c r="M171" s="80"/>
      <c r="N171" s="80"/>
      <c r="O171" s="80"/>
      <c r="P171" s="80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112"/>
      <c r="AG171" s="23"/>
    </row>
    <row r="172" spans="2:33" ht="16.899999999999999" customHeight="1" x14ac:dyDescent="0.35">
      <c r="B172" s="22"/>
      <c r="E172" s="75"/>
      <c r="F172" s="76"/>
      <c r="G172" s="76"/>
      <c r="H172" s="76"/>
      <c r="I172" s="76" t="s">
        <v>121</v>
      </c>
      <c r="J172" s="76"/>
      <c r="K172" s="76"/>
      <c r="L172" s="76"/>
      <c r="M172" s="80"/>
      <c r="N172" s="80"/>
      <c r="O172" s="80"/>
      <c r="P172" s="80"/>
      <c r="Q172" s="110">
        <f>IFERROR(((Q171-Q170)/Q170),0)</f>
        <v>0</v>
      </c>
      <c r="R172" s="110"/>
      <c r="S172" s="110"/>
      <c r="T172" s="110"/>
      <c r="U172" s="110">
        <f t="shared" ref="U172" si="101">IFERROR(((U171-U170)/U170),0)</f>
        <v>0</v>
      </c>
      <c r="V172" s="110"/>
      <c r="W172" s="110"/>
      <c r="X172" s="110"/>
      <c r="Y172" s="110">
        <f t="shared" ref="Y172" si="102">IFERROR(((Y171-Y170)/Y170),0)</f>
        <v>0</v>
      </c>
      <c r="Z172" s="110"/>
      <c r="AA172" s="110"/>
      <c r="AB172" s="110"/>
      <c r="AC172" s="110">
        <f>IFERROR(((AC171-AC170)/AC170),0)</f>
        <v>0</v>
      </c>
      <c r="AD172" s="110"/>
      <c r="AE172" s="110"/>
      <c r="AF172" s="111"/>
      <c r="AG172" s="31">
        <f>COUNTIF(Q173:AF173,6)</f>
        <v>0</v>
      </c>
    </row>
    <row r="173" spans="2:33" ht="16.899999999999999" customHeight="1" thickBot="1" x14ac:dyDescent="0.4">
      <c r="B173" s="22"/>
      <c r="E173" s="77"/>
      <c r="F173" s="78"/>
      <c r="G173" s="78"/>
      <c r="H173" s="78"/>
      <c r="I173" s="78" t="s">
        <v>8</v>
      </c>
      <c r="J173" s="78"/>
      <c r="K173" s="78"/>
      <c r="L173" s="78"/>
      <c r="M173" s="81"/>
      <c r="N173" s="81"/>
      <c r="O173" s="81"/>
      <c r="P173" s="81"/>
      <c r="Q173" s="113">
        <f>IF((ABS(Q172)&lt;=0.1),9,IF((ABS(Q172)&lt;=0.2),6,1))</f>
        <v>9</v>
      </c>
      <c r="R173" s="113"/>
      <c r="S173" s="113"/>
      <c r="T173" s="113"/>
      <c r="U173" s="113">
        <f t="shared" ref="U173" si="103">IF((ABS(U172)&lt;=0.1),9,IF((ABS(U172)&lt;=0.2),6,1))</f>
        <v>9</v>
      </c>
      <c r="V173" s="113"/>
      <c r="W173" s="113"/>
      <c r="X173" s="113"/>
      <c r="Y173" s="113">
        <f t="shared" ref="Y173" si="104">IF((ABS(Y172)&lt;=0.1),9,IF((ABS(Y172)&lt;=0.2),6,1))</f>
        <v>9</v>
      </c>
      <c r="Z173" s="113"/>
      <c r="AA173" s="113"/>
      <c r="AB173" s="113"/>
      <c r="AC173" s="113">
        <f t="shared" ref="AC173" si="105">IF((ABS(AC172)&lt;=0.1),9,IF((ABS(AC172)&lt;=0.2),6,1))</f>
        <v>9</v>
      </c>
      <c r="AD173" s="113"/>
      <c r="AE173" s="113"/>
      <c r="AF173" s="116"/>
      <c r="AG173" s="31">
        <f>COUNTIF(Q173:AF173,1)</f>
        <v>0</v>
      </c>
    </row>
    <row r="174" spans="2:33" ht="16.899999999999999" customHeight="1" x14ac:dyDescent="0.35">
      <c r="B174" s="22"/>
      <c r="E174" s="73" t="s">
        <v>270</v>
      </c>
      <c r="F174" s="74"/>
      <c r="G174" s="74"/>
      <c r="H174" s="74"/>
      <c r="I174" s="74" t="s">
        <v>120</v>
      </c>
      <c r="J174" s="74"/>
      <c r="K174" s="74"/>
      <c r="L174" s="74"/>
      <c r="M174" s="79"/>
      <c r="N174" s="79"/>
      <c r="O174" s="79"/>
      <c r="P174" s="79"/>
      <c r="Q174" s="114">
        <f>0.25*$M174</f>
        <v>0</v>
      </c>
      <c r="R174" s="114"/>
      <c r="S174" s="114"/>
      <c r="T174" s="114"/>
      <c r="U174" s="114">
        <f>0.5*$M174</f>
        <v>0</v>
      </c>
      <c r="V174" s="114"/>
      <c r="W174" s="114"/>
      <c r="X174" s="114"/>
      <c r="Y174" s="114">
        <f>0.75*$M174</f>
        <v>0</v>
      </c>
      <c r="Z174" s="114"/>
      <c r="AA174" s="114"/>
      <c r="AB174" s="114"/>
      <c r="AC174" s="114">
        <f>$M174</f>
        <v>0</v>
      </c>
      <c r="AD174" s="114"/>
      <c r="AE174" s="114"/>
      <c r="AF174" s="115"/>
      <c r="AG174" s="23"/>
    </row>
    <row r="175" spans="2:33" ht="16.899999999999999" customHeight="1" x14ac:dyDescent="0.35">
      <c r="B175" s="22"/>
      <c r="E175" s="75"/>
      <c r="F175" s="76"/>
      <c r="G175" s="76"/>
      <c r="H175" s="76"/>
      <c r="I175" s="76" t="s">
        <v>51</v>
      </c>
      <c r="J175" s="76"/>
      <c r="K175" s="76"/>
      <c r="L175" s="76"/>
      <c r="M175" s="80"/>
      <c r="N175" s="80"/>
      <c r="O175" s="80"/>
      <c r="P175" s="80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112"/>
      <c r="AG175" s="23"/>
    </row>
    <row r="176" spans="2:33" ht="16.899999999999999" customHeight="1" x14ac:dyDescent="0.35">
      <c r="B176" s="22"/>
      <c r="E176" s="75"/>
      <c r="F176" s="76"/>
      <c r="G176" s="76"/>
      <c r="H176" s="76"/>
      <c r="I176" s="76" t="s">
        <v>121</v>
      </c>
      <c r="J176" s="76"/>
      <c r="K176" s="76"/>
      <c r="L176" s="76"/>
      <c r="M176" s="80"/>
      <c r="N176" s="80"/>
      <c r="O176" s="80"/>
      <c r="P176" s="80"/>
      <c r="Q176" s="110">
        <f>IFERROR(((Q175-Q174)/Q174),0)</f>
        <v>0</v>
      </c>
      <c r="R176" s="110"/>
      <c r="S176" s="110"/>
      <c r="T176" s="110"/>
      <c r="U176" s="110">
        <f t="shared" ref="U176" si="106">IFERROR(((U175-U174)/U174),0)</f>
        <v>0</v>
      </c>
      <c r="V176" s="110"/>
      <c r="W176" s="110"/>
      <c r="X176" s="110"/>
      <c r="Y176" s="110">
        <f t="shared" ref="Y176" si="107">IFERROR(((Y175-Y174)/Y174),0)</f>
        <v>0</v>
      </c>
      <c r="Z176" s="110"/>
      <c r="AA176" s="110"/>
      <c r="AB176" s="110"/>
      <c r="AC176" s="110">
        <f>IFERROR(((AC175-AC174)/AC174),0)</f>
        <v>0</v>
      </c>
      <c r="AD176" s="110"/>
      <c r="AE176" s="110"/>
      <c r="AF176" s="111"/>
      <c r="AG176" s="31">
        <f>COUNTIF(Q177:AF177,6)</f>
        <v>0</v>
      </c>
    </row>
    <row r="177" spans="2:33" ht="16.899999999999999" customHeight="1" thickBot="1" x14ac:dyDescent="0.4">
      <c r="B177" s="22"/>
      <c r="E177" s="77"/>
      <c r="F177" s="78"/>
      <c r="G177" s="78"/>
      <c r="H177" s="78"/>
      <c r="I177" s="78" t="s">
        <v>8</v>
      </c>
      <c r="J177" s="78"/>
      <c r="K177" s="78"/>
      <c r="L177" s="78"/>
      <c r="M177" s="81"/>
      <c r="N177" s="81"/>
      <c r="O177" s="81"/>
      <c r="P177" s="81"/>
      <c r="Q177" s="113">
        <f>IF((ABS(Q176)&lt;=0.1),9,IF((ABS(Q176)&lt;=0.2),6,1))</f>
        <v>9</v>
      </c>
      <c r="R177" s="113"/>
      <c r="S177" s="113"/>
      <c r="T177" s="113"/>
      <c r="U177" s="113">
        <f t="shared" ref="U177" si="108">IF((ABS(U176)&lt;=0.1),9,IF((ABS(U176)&lt;=0.2),6,1))</f>
        <v>9</v>
      </c>
      <c r="V177" s="113"/>
      <c r="W177" s="113"/>
      <c r="X177" s="113"/>
      <c r="Y177" s="113">
        <f t="shared" ref="Y177" si="109">IF((ABS(Y176)&lt;=0.1),9,IF((ABS(Y176)&lt;=0.2),6,1))</f>
        <v>9</v>
      </c>
      <c r="Z177" s="113"/>
      <c r="AA177" s="113"/>
      <c r="AB177" s="113"/>
      <c r="AC177" s="113">
        <f t="shared" ref="AC177" si="110">IF((ABS(AC176)&lt;=0.1),9,IF((ABS(AC176)&lt;=0.2),6,1))</f>
        <v>9</v>
      </c>
      <c r="AD177" s="113"/>
      <c r="AE177" s="113"/>
      <c r="AF177" s="116"/>
      <c r="AG177" s="31">
        <f>COUNTIF(Q177:AF177,1)</f>
        <v>0</v>
      </c>
    </row>
    <row r="178" spans="2:33" ht="16.899999999999999" customHeight="1" x14ac:dyDescent="0.35">
      <c r="B178" s="22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2"/>
      <c r="Q178" s="2"/>
      <c r="R178" s="2"/>
      <c r="S178" s="2"/>
      <c r="AG178" s="23"/>
    </row>
    <row r="179" spans="2:33" ht="16.899999999999999" customHeight="1" x14ac:dyDescent="0.35">
      <c r="B179" s="22"/>
      <c r="E179" s="67" t="s">
        <v>115</v>
      </c>
      <c r="F179" s="67"/>
      <c r="G179" s="67"/>
      <c r="H179" s="67"/>
      <c r="I179" s="67"/>
      <c r="J179" s="67"/>
      <c r="K179" s="67"/>
      <c r="L179" s="67"/>
      <c r="M179" s="67"/>
      <c r="N179" s="67"/>
      <c r="O179" s="124"/>
      <c r="P179" s="91">
        <f>MIN(Q169:AF169,Q173:AF173,Q177:AF177)</f>
        <v>9</v>
      </c>
      <c r="Q179" s="91"/>
      <c r="R179" s="91"/>
      <c r="S179" s="91"/>
      <c r="AG179" s="23"/>
    </row>
    <row r="180" spans="2:33" ht="16.899999999999999" customHeight="1" x14ac:dyDescent="0.35">
      <c r="B180" s="22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2"/>
      <c r="Q180" s="2"/>
      <c r="R180" s="2"/>
      <c r="S180" s="2"/>
      <c r="AG180" s="23"/>
    </row>
    <row r="181" spans="2:33" ht="16.899999999999999" customHeight="1" x14ac:dyDescent="0.35">
      <c r="B181" s="22"/>
      <c r="C181" s="14" t="s">
        <v>116</v>
      </c>
      <c r="D181" s="14"/>
      <c r="E181" s="14" t="s">
        <v>23</v>
      </c>
      <c r="AG181" s="23"/>
    </row>
    <row r="182" spans="2:33" ht="16.899999999999999" customHeight="1" x14ac:dyDescent="0.35">
      <c r="B182" s="22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23"/>
    </row>
    <row r="183" spans="2:33" ht="16.899999999999999" customHeight="1" x14ac:dyDescent="0.35">
      <c r="B183" s="22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23"/>
    </row>
    <row r="184" spans="2:33" ht="16.899999999999999" customHeight="1" x14ac:dyDescent="0.35">
      <c r="B184" s="22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23"/>
    </row>
    <row r="185" spans="2:33" ht="16.899999999999999" customHeight="1" x14ac:dyDescent="0.35">
      <c r="B185" s="22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23"/>
    </row>
    <row r="186" spans="2:33" ht="16.899999999999999" customHeight="1" x14ac:dyDescent="0.35">
      <c r="B186" s="22"/>
      <c r="AG186" s="23"/>
    </row>
    <row r="187" spans="2:33" ht="16.899999999999999" customHeight="1" x14ac:dyDescent="0.35">
      <c r="B187" s="22"/>
      <c r="C187" s="14" t="s">
        <v>117</v>
      </c>
      <c r="D187" s="14"/>
      <c r="E187" s="14" t="s">
        <v>25</v>
      </c>
      <c r="F187" s="14"/>
      <c r="AG187" s="23"/>
    </row>
    <row r="188" spans="2:33" ht="16.899999999999999" customHeight="1" x14ac:dyDescent="0.35">
      <c r="B188" s="22"/>
      <c r="E188" s="67" t="s">
        <v>48</v>
      </c>
      <c r="F188" s="67"/>
      <c r="G188" s="67"/>
      <c r="H188" s="67"/>
      <c r="I188" s="67"/>
      <c r="J188" s="67"/>
      <c r="K188" s="67"/>
      <c r="L188" s="67"/>
      <c r="M188" s="67"/>
      <c r="N188" s="67"/>
      <c r="O188" s="124"/>
      <c r="P188" s="91">
        <f>MIN(P23,P41,P60,P70,P78,P88,P98,P112,P136,P153,P161,P179)</f>
        <v>9</v>
      </c>
      <c r="Q188" s="91"/>
      <c r="R188" s="91"/>
      <c r="S188" s="91"/>
      <c r="AG188" s="23"/>
    </row>
    <row r="189" spans="2:33" ht="16.899999999999999" customHeight="1" thickBot="1" x14ac:dyDescent="0.4">
      <c r="B189" s="22"/>
      <c r="AG189" s="23"/>
    </row>
    <row r="190" spans="2:33" ht="16.899999999999999" customHeight="1" thickBot="1" x14ac:dyDescent="0.4">
      <c r="B190" s="22"/>
      <c r="C190" s="70" t="s">
        <v>27</v>
      </c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 t="s">
        <v>28</v>
      </c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6"/>
      <c r="AG190" s="23"/>
    </row>
    <row r="191" spans="2:33" ht="16.899999999999999" customHeight="1" x14ac:dyDescent="0.35">
      <c r="B191" s="22"/>
      <c r="C191" s="44">
        <v>1</v>
      </c>
      <c r="D191" s="121" t="s">
        <v>302</v>
      </c>
      <c r="E191" s="122"/>
      <c r="F191" s="122"/>
      <c r="G191" s="122"/>
      <c r="H191" s="122"/>
      <c r="I191" s="122"/>
      <c r="J191" s="122"/>
      <c r="K191" s="122"/>
      <c r="L191" s="122"/>
      <c r="M191" s="123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9"/>
      <c r="AG191" s="23"/>
    </row>
    <row r="192" spans="2:33" ht="16.899999999999999" customHeight="1" x14ac:dyDescent="0.35">
      <c r="B192" s="22"/>
      <c r="C192" s="45">
        <v>2</v>
      </c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112"/>
      <c r="AG192" s="23"/>
    </row>
    <row r="193" spans="2:33" ht="16.899999999999999" customHeight="1" x14ac:dyDescent="0.35">
      <c r="B193" s="22"/>
      <c r="C193" s="45">
        <v>3</v>
      </c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112"/>
      <c r="AG193" s="23"/>
    </row>
    <row r="194" spans="2:33" ht="16.899999999999999" customHeight="1" x14ac:dyDescent="0.35">
      <c r="B194" s="22"/>
      <c r="C194" s="45">
        <v>4</v>
      </c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112"/>
      <c r="AG194" s="23"/>
    </row>
    <row r="195" spans="2:33" ht="16.899999999999999" customHeight="1" thickBot="1" x14ac:dyDescent="0.4">
      <c r="B195" s="22"/>
      <c r="C195" s="46">
        <v>5</v>
      </c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 t="s">
        <v>303</v>
      </c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20"/>
      <c r="AG195" s="23"/>
    </row>
    <row r="196" spans="2:33" ht="16.899999999999999" customHeight="1" thickBot="1" x14ac:dyDescent="0.4"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9"/>
    </row>
  </sheetData>
  <sheetProtection sheet="1" objects="1" scenarios="1"/>
  <mergeCells count="817">
    <mergeCell ref="E165:L165"/>
    <mergeCell ref="V93:AC93"/>
    <mergeCell ref="V94:AC94"/>
    <mergeCell ref="V95:AC95"/>
    <mergeCell ref="E4:F4"/>
    <mergeCell ref="E5:F5"/>
    <mergeCell ref="E9:H9"/>
    <mergeCell ref="I9:K9"/>
    <mergeCell ref="L9:N9"/>
    <mergeCell ref="E60:O60"/>
    <mergeCell ref="P60:S60"/>
    <mergeCell ref="R12:T12"/>
    <mergeCell ref="AA58:AC58"/>
    <mergeCell ref="R27:T27"/>
    <mergeCell ref="U29:W29"/>
    <mergeCell ref="X29:Z29"/>
    <mergeCell ref="AA31:AC31"/>
    <mergeCell ref="AA34:AC34"/>
    <mergeCell ref="X38:Z38"/>
    <mergeCell ref="AA38:AC38"/>
    <mergeCell ref="R36:T36"/>
    <mergeCell ref="U36:W36"/>
    <mergeCell ref="X36:Z36"/>
    <mergeCell ref="AA36:AC36"/>
    <mergeCell ref="E36:H39"/>
    <mergeCell ref="N65:P65"/>
    <mergeCell ref="I16:K16"/>
    <mergeCell ref="L16:N16"/>
    <mergeCell ref="O16:Q16"/>
    <mergeCell ref="R16:T16"/>
    <mergeCell ref="L18:N18"/>
    <mergeCell ref="O18:Q18"/>
    <mergeCell ref="E18:H21"/>
    <mergeCell ref="I19:K19"/>
    <mergeCell ref="L19:N19"/>
    <mergeCell ref="O19:Q19"/>
    <mergeCell ref="R19:T19"/>
    <mergeCell ref="O47:Q47"/>
    <mergeCell ref="R47:T47"/>
    <mergeCell ref="E41:O41"/>
    <mergeCell ref="P41:S41"/>
    <mergeCell ref="E27:H27"/>
    <mergeCell ref="I27:K27"/>
    <mergeCell ref="L27:N27"/>
    <mergeCell ref="O27:Q27"/>
    <mergeCell ref="E23:O23"/>
    <mergeCell ref="P23:S23"/>
    <mergeCell ref="E47:H50"/>
    <mergeCell ref="U9:W9"/>
    <mergeCell ref="X9:Z9"/>
    <mergeCell ref="AA9:AC9"/>
    <mergeCell ref="AD9:AF9"/>
    <mergeCell ref="I10:K10"/>
    <mergeCell ref="I11:K11"/>
    <mergeCell ref="I12:K12"/>
    <mergeCell ref="I18:K18"/>
    <mergeCell ref="L10:N10"/>
    <mergeCell ref="R18:T18"/>
    <mergeCell ref="U18:W18"/>
    <mergeCell ref="L11:N11"/>
    <mergeCell ref="O11:Q11"/>
    <mergeCell ref="R11:T11"/>
    <mergeCell ref="U11:W11"/>
    <mergeCell ref="O9:Q9"/>
    <mergeCell ref="R9:T9"/>
    <mergeCell ref="X12:Z12"/>
    <mergeCell ref="AA12:AC12"/>
    <mergeCell ref="AD12:AF12"/>
    <mergeCell ref="O10:Q10"/>
    <mergeCell ref="R10:T10"/>
    <mergeCell ref="U10:W10"/>
    <mergeCell ref="X10:Z10"/>
    <mergeCell ref="AA10:AC10"/>
    <mergeCell ref="AD10:AF10"/>
    <mergeCell ref="AD13:AF13"/>
    <mergeCell ref="E10:H13"/>
    <mergeCell ref="E14:H17"/>
    <mergeCell ref="I14:K14"/>
    <mergeCell ref="L14:N14"/>
    <mergeCell ref="O14:Q14"/>
    <mergeCell ref="R14:T14"/>
    <mergeCell ref="U14:W14"/>
    <mergeCell ref="X14:Z14"/>
    <mergeCell ref="AA14:AC14"/>
    <mergeCell ref="I13:K13"/>
    <mergeCell ref="L13:N13"/>
    <mergeCell ref="O13:Q13"/>
    <mergeCell ref="R13:T13"/>
    <mergeCell ref="U13:W13"/>
    <mergeCell ref="X13:Z13"/>
    <mergeCell ref="AA13:AC13"/>
    <mergeCell ref="X11:Z11"/>
    <mergeCell ref="AA11:AC11"/>
    <mergeCell ref="AD11:AF11"/>
    <mergeCell ref="L12:N12"/>
    <mergeCell ref="O12:Q12"/>
    <mergeCell ref="U12:W12"/>
    <mergeCell ref="AD14:AF14"/>
    <mergeCell ref="I15:K15"/>
    <mergeCell ref="L15:N15"/>
    <mergeCell ref="O15:Q15"/>
    <mergeCell ref="R15:T15"/>
    <mergeCell ref="U15:W15"/>
    <mergeCell ref="X15:Z15"/>
    <mergeCell ref="AA15:AC15"/>
    <mergeCell ref="AD15:AF15"/>
    <mergeCell ref="U16:W16"/>
    <mergeCell ref="X16:Z16"/>
    <mergeCell ref="AA16:AC16"/>
    <mergeCell ref="AD16:AF16"/>
    <mergeCell ref="I17:K17"/>
    <mergeCell ref="L17:N17"/>
    <mergeCell ref="O17:Q17"/>
    <mergeCell ref="R17:T17"/>
    <mergeCell ref="U17:W17"/>
    <mergeCell ref="X17:Z17"/>
    <mergeCell ref="AA17:AC17"/>
    <mergeCell ref="AD17:AF17"/>
    <mergeCell ref="X18:Z18"/>
    <mergeCell ref="AA18:AC18"/>
    <mergeCell ref="AD18:AF18"/>
    <mergeCell ref="AA21:AC21"/>
    <mergeCell ref="AD21:AF21"/>
    <mergeCell ref="I21:K21"/>
    <mergeCell ref="L21:N21"/>
    <mergeCell ref="O21:Q21"/>
    <mergeCell ref="R21:T21"/>
    <mergeCell ref="U21:W21"/>
    <mergeCell ref="X21:Z21"/>
    <mergeCell ref="AD19:AF19"/>
    <mergeCell ref="I20:K20"/>
    <mergeCell ref="L20:N20"/>
    <mergeCell ref="O20:Q20"/>
    <mergeCell ref="R20:T20"/>
    <mergeCell ref="U20:W20"/>
    <mergeCell ref="X20:Z20"/>
    <mergeCell ref="AA20:AC20"/>
    <mergeCell ref="AD20:AF20"/>
    <mergeCell ref="AA30:AC30"/>
    <mergeCell ref="AD30:AF30"/>
    <mergeCell ref="I29:K29"/>
    <mergeCell ref="L29:N29"/>
    <mergeCell ref="O29:Q29"/>
    <mergeCell ref="R29:T29"/>
    <mergeCell ref="U19:W19"/>
    <mergeCell ref="X19:Z19"/>
    <mergeCell ref="AA19:AC19"/>
    <mergeCell ref="O33:Q33"/>
    <mergeCell ref="R33:T33"/>
    <mergeCell ref="U33:W33"/>
    <mergeCell ref="X33:Z33"/>
    <mergeCell ref="AA33:AC33"/>
    <mergeCell ref="AD33:AF33"/>
    <mergeCell ref="AD27:AF27"/>
    <mergeCell ref="E28:H31"/>
    <mergeCell ref="I28:K28"/>
    <mergeCell ref="L28:N28"/>
    <mergeCell ref="O28:Q28"/>
    <mergeCell ref="R28:T28"/>
    <mergeCell ref="U28:W28"/>
    <mergeCell ref="X28:Z28"/>
    <mergeCell ref="AA28:AC28"/>
    <mergeCell ref="AD28:AF28"/>
    <mergeCell ref="AA29:AC29"/>
    <mergeCell ref="AD29:AF29"/>
    <mergeCell ref="I30:K30"/>
    <mergeCell ref="L30:N30"/>
    <mergeCell ref="O30:Q30"/>
    <mergeCell ref="R30:T30"/>
    <mergeCell ref="U30:W30"/>
    <mergeCell ref="X30:Z30"/>
    <mergeCell ref="I34:K34"/>
    <mergeCell ref="L34:N34"/>
    <mergeCell ref="O34:Q34"/>
    <mergeCell ref="R34:T34"/>
    <mergeCell ref="U34:W34"/>
    <mergeCell ref="X34:Z34"/>
    <mergeCell ref="AD31:AF31"/>
    <mergeCell ref="E32:H35"/>
    <mergeCell ref="I32:K32"/>
    <mergeCell ref="L32:N32"/>
    <mergeCell ref="O32:Q32"/>
    <mergeCell ref="R32:T32"/>
    <mergeCell ref="U32:W32"/>
    <mergeCell ref="X32:Z32"/>
    <mergeCell ref="AA32:AC32"/>
    <mergeCell ref="I31:K31"/>
    <mergeCell ref="L31:N31"/>
    <mergeCell ref="O31:Q31"/>
    <mergeCell ref="R31:T31"/>
    <mergeCell ref="U31:W31"/>
    <mergeCell ref="X31:Z31"/>
    <mergeCell ref="AD32:AF32"/>
    <mergeCell ref="I33:K33"/>
    <mergeCell ref="L33:N33"/>
    <mergeCell ref="AD36:AF36"/>
    <mergeCell ref="I37:K37"/>
    <mergeCell ref="L37:N37"/>
    <mergeCell ref="O37:Q37"/>
    <mergeCell ref="R37:T37"/>
    <mergeCell ref="U37:W37"/>
    <mergeCell ref="U27:W27"/>
    <mergeCell ref="X27:Z27"/>
    <mergeCell ref="AA27:AC27"/>
    <mergeCell ref="I36:K36"/>
    <mergeCell ref="L36:N36"/>
    <mergeCell ref="O36:Q36"/>
    <mergeCell ref="X37:Z37"/>
    <mergeCell ref="AA37:AC37"/>
    <mergeCell ref="AD37:AF37"/>
    <mergeCell ref="AD34:AF34"/>
    <mergeCell ref="I35:K35"/>
    <mergeCell ref="L35:N35"/>
    <mergeCell ref="O35:Q35"/>
    <mergeCell ref="R35:T35"/>
    <mergeCell ref="U35:W35"/>
    <mergeCell ref="X35:Z35"/>
    <mergeCell ref="AA35:AC35"/>
    <mergeCell ref="AD35:AF35"/>
    <mergeCell ref="AD38:AF38"/>
    <mergeCell ref="I39:K39"/>
    <mergeCell ref="L39:N39"/>
    <mergeCell ref="O39:Q39"/>
    <mergeCell ref="R39:T39"/>
    <mergeCell ref="U39:W39"/>
    <mergeCell ref="X39:Z39"/>
    <mergeCell ref="AA39:AC39"/>
    <mergeCell ref="AD39:AF39"/>
    <mergeCell ref="I38:K38"/>
    <mergeCell ref="L38:N38"/>
    <mergeCell ref="O38:Q38"/>
    <mergeCell ref="R38:T38"/>
    <mergeCell ref="U38:W38"/>
    <mergeCell ref="U47:W47"/>
    <mergeCell ref="X47:Z47"/>
    <mergeCell ref="L46:N46"/>
    <mergeCell ref="O46:Q46"/>
    <mergeCell ref="R46:T46"/>
    <mergeCell ref="U46:W46"/>
    <mergeCell ref="AA47:AC47"/>
    <mergeCell ref="I48:K48"/>
    <mergeCell ref="L48:N48"/>
    <mergeCell ref="O48:Q48"/>
    <mergeCell ref="R48:T48"/>
    <mergeCell ref="U48:W48"/>
    <mergeCell ref="X48:Z48"/>
    <mergeCell ref="AA48:AC48"/>
    <mergeCell ref="X46:Z46"/>
    <mergeCell ref="AA46:AC46"/>
    <mergeCell ref="L47:N47"/>
    <mergeCell ref="I47:K47"/>
    <mergeCell ref="AA49:AC49"/>
    <mergeCell ref="I50:K50"/>
    <mergeCell ref="L50:N50"/>
    <mergeCell ref="O50:Q50"/>
    <mergeCell ref="R50:T50"/>
    <mergeCell ref="U50:W50"/>
    <mergeCell ref="X50:Z50"/>
    <mergeCell ref="AA50:AC50"/>
    <mergeCell ref="I49:K49"/>
    <mergeCell ref="L49:N49"/>
    <mergeCell ref="O49:Q49"/>
    <mergeCell ref="R49:T49"/>
    <mergeCell ref="U49:W49"/>
    <mergeCell ref="X49:Z49"/>
    <mergeCell ref="X51:Z51"/>
    <mergeCell ref="AA51:AC51"/>
    <mergeCell ref="I52:K52"/>
    <mergeCell ref="L52:N52"/>
    <mergeCell ref="O52:Q52"/>
    <mergeCell ref="R52:T52"/>
    <mergeCell ref="U52:W52"/>
    <mergeCell ref="X52:Z52"/>
    <mergeCell ref="AA52:AC52"/>
    <mergeCell ref="I51:K51"/>
    <mergeCell ref="L51:N51"/>
    <mergeCell ref="O51:Q51"/>
    <mergeCell ref="R51:T51"/>
    <mergeCell ref="U51:W51"/>
    <mergeCell ref="R56:T56"/>
    <mergeCell ref="U56:W56"/>
    <mergeCell ref="I53:K53"/>
    <mergeCell ref="L53:N53"/>
    <mergeCell ref="O53:Q53"/>
    <mergeCell ref="R53:T53"/>
    <mergeCell ref="U53:W53"/>
    <mergeCell ref="X53:Z53"/>
    <mergeCell ref="AA53:AC53"/>
    <mergeCell ref="T65:V65"/>
    <mergeCell ref="W65:Y65"/>
    <mergeCell ref="U54:W54"/>
    <mergeCell ref="X54:Z54"/>
    <mergeCell ref="AA54:AC54"/>
    <mergeCell ref="E55:H58"/>
    <mergeCell ref="I55:K55"/>
    <mergeCell ref="L55:N55"/>
    <mergeCell ref="O55:Q55"/>
    <mergeCell ref="R55:T55"/>
    <mergeCell ref="U55:W55"/>
    <mergeCell ref="E51:H54"/>
    <mergeCell ref="I54:K54"/>
    <mergeCell ref="L54:N54"/>
    <mergeCell ref="O54:Q54"/>
    <mergeCell ref="R54:T54"/>
    <mergeCell ref="U57:W57"/>
    <mergeCell ref="X57:Z57"/>
    <mergeCell ref="AA57:AC57"/>
    <mergeCell ref="X55:Z55"/>
    <mergeCell ref="AA55:AC55"/>
    <mergeCell ref="I56:K56"/>
    <mergeCell ref="L56:N56"/>
    <mergeCell ref="O56:Q56"/>
    <mergeCell ref="L45:T45"/>
    <mergeCell ref="U45:AC45"/>
    <mergeCell ref="E45:H46"/>
    <mergeCell ref="I45:K46"/>
    <mergeCell ref="E64:G65"/>
    <mergeCell ref="H65:J65"/>
    <mergeCell ref="K65:M65"/>
    <mergeCell ref="I58:K58"/>
    <mergeCell ref="L58:N58"/>
    <mergeCell ref="O58:Q58"/>
    <mergeCell ref="R58:T58"/>
    <mergeCell ref="U58:W58"/>
    <mergeCell ref="X58:Z58"/>
    <mergeCell ref="I57:K57"/>
    <mergeCell ref="L57:N57"/>
    <mergeCell ref="O57:Q57"/>
    <mergeCell ref="R57:T57"/>
    <mergeCell ref="X56:Z56"/>
    <mergeCell ref="AA56:AC56"/>
    <mergeCell ref="H64:P64"/>
    <mergeCell ref="Q64:Y64"/>
    <mergeCell ref="Z64:AB65"/>
    <mergeCell ref="AC64:AF65"/>
    <mergeCell ref="Q65:S65"/>
    <mergeCell ref="W66:Y66"/>
    <mergeCell ref="Z66:AB66"/>
    <mergeCell ref="AC66:AF66"/>
    <mergeCell ref="E67:G67"/>
    <mergeCell ref="H67:J67"/>
    <mergeCell ref="K67:M67"/>
    <mergeCell ref="N67:P67"/>
    <mergeCell ref="Q67:S67"/>
    <mergeCell ref="T67:V67"/>
    <mergeCell ref="W67:Y67"/>
    <mergeCell ref="E66:G66"/>
    <mergeCell ref="H66:J66"/>
    <mergeCell ref="K66:M66"/>
    <mergeCell ref="N66:P66"/>
    <mergeCell ref="Q66:S66"/>
    <mergeCell ref="T66:V66"/>
    <mergeCell ref="AC68:AF68"/>
    <mergeCell ref="E70:O70"/>
    <mergeCell ref="P70:S70"/>
    <mergeCell ref="Z67:AB67"/>
    <mergeCell ref="AC67:AF67"/>
    <mergeCell ref="E68:G68"/>
    <mergeCell ref="H68:J68"/>
    <mergeCell ref="K68:M68"/>
    <mergeCell ref="N68:P68"/>
    <mergeCell ref="Q68:S68"/>
    <mergeCell ref="T68:V68"/>
    <mergeCell ref="W68:Y68"/>
    <mergeCell ref="Z68:AB68"/>
    <mergeCell ref="P95:R95"/>
    <mergeCell ref="S95:U95"/>
    <mergeCell ref="E104:H106"/>
    <mergeCell ref="I104:L104"/>
    <mergeCell ref="I105:L105"/>
    <mergeCell ref="S92:U92"/>
    <mergeCell ref="P93:R93"/>
    <mergeCell ref="S93:U93"/>
    <mergeCell ref="P94:R94"/>
    <mergeCell ref="S94:U94"/>
    <mergeCell ref="J93:O93"/>
    <mergeCell ref="J94:O94"/>
    <mergeCell ref="J95:O95"/>
    <mergeCell ref="E93:I93"/>
    <mergeCell ref="E94:I94"/>
    <mergeCell ref="E95:I95"/>
    <mergeCell ref="J92:O92"/>
    <mergeCell ref="E92:I92"/>
    <mergeCell ref="P92:R92"/>
    <mergeCell ref="E102:H103"/>
    <mergeCell ref="I102:L103"/>
    <mergeCell ref="I106:L106"/>
    <mergeCell ref="S104:U104"/>
    <mergeCell ref="V92:AC92"/>
    <mergeCell ref="M110:O110"/>
    <mergeCell ref="P110:R110"/>
    <mergeCell ref="M105:O105"/>
    <mergeCell ref="P105:R105"/>
    <mergeCell ref="M106:O106"/>
    <mergeCell ref="P106:R106"/>
    <mergeCell ref="M107:O107"/>
    <mergeCell ref="P107:R107"/>
    <mergeCell ref="M103:O103"/>
    <mergeCell ref="P103:R103"/>
    <mergeCell ref="M102:R102"/>
    <mergeCell ref="M104:O104"/>
    <mergeCell ref="P104:R104"/>
    <mergeCell ref="V109:AA109"/>
    <mergeCell ref="V110:AA110"/>
    <mergeCell ref="E98:O98"/>
    <mergeCell ref="P98:S98"/>
    <mergeCell ref="S106:U106"/>
    <mergeCell ref="V106:AA106"/>
    <mergeCell ref="V107:AA107"/>
    <mergeCell ref="V108:AA108"/>
    <mergeCell ref="S102:U103"/>
    <mergeCell ref="V102:AA103"/>
    <mergeCell ref="E107:H109"/>
    <mergeCell ref="I107:L107"/>
    <mergeCell ref="I108:L108"/>
    <mergeCell ref="I109:L109"/>
    <mergeCell ref="E110:H110"/>
    <mergeCell ref="I110:L110"/>
    <mergeCell ref="E112:O112"/>
    <mergeCell ref="P112:S112"/>
    <mergeCell ref="S109:U109"/>
    <mergeCell ref="S110:U110"/>
    <mergeCell ref="S107:U107"/>
    <mergeCell ref="S108:U108"/>
    <mergeCell ref="V104:AA104"/>
    <mergeCell ref="S105:U105"/>
    <mergeCell ref="V105:AA105"/>
    <mergeCell ref="M108:O108"/>
    <mergeCell ref="P108:R108"/>
    <mergeCell ref="M109:O109"/>
    <mergeCell ref="P109:R109"/>
    <mergeCell ref="E148:H148"/>
    <mergeCell ref="W147:Z147"/>
    <mergeCell ref="AA147:AC147"/>
    <mergeCell ref="W145:Z145"/>
    <mergeCell ref="AA145:AC145"/>
    <mergeCell ref="M143:O143"/>
    <mergeCell ref="P143:R143"/>
    <mergeCell ref="S143:V143"/>
    <mergeCell ref="W143:Z143"/>
    <mergeCell ref="AA143:AC143"/>
    <mergeCell ref="I148:L148"/>
    <mergeCell ref="M148:O148"/>
    <mergeCell ref="P148:R148"/>
    <mergeCell ref="S148:V148"/>
    <mergeCell ref="W148:Z148"/>
    <mergeCell ref="AA148:AC148"/>
    <mergeCell ref="E125:H125"/>
    <mergeCell ref="E126:H126"/>
    <mergeCell ref="E127:H127"/>
    <mergeCell ref="E128:H128"/>
    <mergeCell ref="E123:H123"/>
    <mergeCell ref="E120:H120"/>
    <mergeCell ref="I119:L119"/>
    <mergeCell ref="E119:H119"/>
    <mergeCell ref="E141:H141"/>
    <mergeCell ref="E136:O136"/>
    <mergeCell ref="I132:L132"/>
    <mergeCell ref="E132:H132"/>
    <mergeCell ref="E133:H133"/>
    <mergeCell ref="E121:H121"/>
    <mergeCell ref="E124:H124"/>
    <mergeCell ref="E130:H130"/>
    <mergeCell ref="E131:H131"/>
    <mergeCell ref="E122:H122"/>
    <mergeCell ref="E129:H129"/>
    <mergeCell ref="M119:O119"/>
    <mergeCell ref="I121:L121"/>
    <mergeCell ref="M121:O121"/>
    <mergeCell ref="I127:L127"/>
    <mergeCell ref="M127:O127"/>
    <mergeCell ref="M132:O132"/>
    <mergeCell ref="E153:O153"/>
    <mergeCell ref="P153:S153"/>
    <mergeCell ref="E82:G83"/>
    <mergeCell ref="H82:P82"/>
    <mergeCell ref="Q82:Y82"/>
    <mergeCell ref="Z82:AB83"/>
    <mergeCell ref="AC82:AF83"/>
    <mergeCell ref="H83:J83"/>
    <mergeCell ref="E150:H150"/>
    <mergeCell ref="E149:H149"/>
    <mergeCell ref="E147:H147"/>
    <mergeCell ref="I147:L147"/>
    <mergeCell ref="M147:O147"/>
    <mergeCell ref="P147:R147"/>
    <mergeCell ref="S147:V147"/>
    <mergeCell ref="E146:H146"/>
    <mergeCell ref="E145:H145"/>
    <mergeCell ref="I145:L145"/>
    <mergeCell ref="M145:O145"/>
    <mergeCell ref="P145:R145"/>
    <mergeCell ref="S145:V145"/>
    <mergeCell ref="E144:H144"/>
    <mergeCell ref="I143:L143"/>
    <mergeCell ref="E143:H143"/>
    <mergeCell ref="AC86:AF86"/>
    <mergeCell ref="Z84:AB84"/>
    <mergeCell ref="AC84:AF84"/>
    <mergeCell ref="E85:G85"/>
    <mergeCell ref="H85:J85"/>
    <mergeCell ref="K85:M85"/>
    <mergeCell ref="N85:P85"/>
    <mergeCell ref="Q85:S85"/>
    <mergeCell ref="T85:V85"/>
    <mergeCell ref="W85:Y85"/>
    <mergeCell ref="Z85:AB85"/>
    <mergeCell ref="E84:G84"/>
    <mergeCell ref="H84:J84"/>
    <mergeCell ref="K84:M84"/>
    <mergeCell ref="N84:P84"/>
    <mergeCell ref="Q84:S84"/>
    <mergeCell ref="T84:V84"/>
    <mergeCell ref="W84:Y84"/>
    <mergeCell ref="E74:I74"/>
    <mergeCell ref="J74:O74"/>
    <mergeCell ref="P74:R74"/>
    <mergeCell ref="S74:U74"/>
    <mergeCell ref="V74:AA74"/>
    <mergeCell ref="E75:I75"/>
    <mergeCell ref="P75:R75"/>
    <mergeCell ref="S75:U75"/>
    <mergeCell ref="AC85:AF85"/>
    <mergeCell ref="Q83:S83"/>
    <mergeCell ref="T83:V83"/>
    <mergeCell ref="W83:Y83"/>
    <mergeCell ref="K83:M83"/>
    <mergeCell ref="N83:P83"/>
    <mergeCell ref="E78:O78"/>
    <mergeCell ref="P78:S78"/>
    <mergeCell ref="V75:AA75"/>
    <mergeCell ref="E76:I76"/>
    <mergeCell ref="P76:R76"/>
    <mergeCell ref="S76:U76"/>
    <mergeCell ref="V76:AA76"/>
    <mergeCell ref="J75:O76"/>
    <mergeCell ref="P88:S88"/>
    <mergeCell ref="E86:G86"/>
    <mergeCell ref="H86:J86"/>
    <mergeCell ref="K86:M86"/>
    <mergeCell ref="N86:P86"/>
    <mergeCell ref="Q86:S86"/>
    <mergeCell ref="T86:V86"/>
    <mergeCell ref="W86:Y86"/>
    <mergeCell ref="Z86:AB86"/>
    <mergeCell ref="E88:O88"/>
    <mergeCell ref="J159:M159"/>
    <mergeCell ref="N157:R157"/>
    <mergeCell ref="N158:R158"/>
    <mergeCell ref="N159:R159"/>
    <mergeCell ref="S157:X157"/>
    <mergeCell ref="S158:X158"/>
    <mergeCell ref="S159:X159"/>
    <mergeCell ref="E159:I159"/>
    <mergeCell ref="J157:M157"/>
    <mergeCell ref="J158:M158"/>
    <mergeCell ref="E157:I157"/>
    <mergeCell ref="E158:I158"/>
    <mergeCell ref="AC165:AF165"/>
    <mergeCell ref="AC174:AF174"/>
    <mergeCell ref="E161:O161"/>
    <mergeCell ref="P161:S161"/>
    <mergeCell ref="Q175:T175"/>
    <mergeCell ref="U175:X175"/>
    <mergeCell ref="Y175:AB175"/>
    <mergeCell ref="AC175:AF175"/>
    <mergeCell ref="U165:X165"/>
    <mergeCell ref="U174:X174"/>
    <mergeCell ref="Y165:AB165"/>
    <mergeCell ref="Y174:AB174"/>
    <mergeCell ref="U169:X169"/>
    <mergeCell ref="Y169:AB169"/>
    <mergeCell ref="M165:P165"/>
    <mergeCell ref="Q165:T165"/>
    <mergeCell ref="I174:L174"/>
    <mergeCell ref="Q174:T174"/>
    <mergeCell ref="I169:L169"/>
    <mergeCell ref="Q169:T169"/>
    <mergeCell ref="AC166:AF166"/>
    <mergeCell ref="I167:L167"/>
    <mergeCell ref="Q167:T167"/>
    <mergeCell ref="U167:X167"/>
    <mergeCell ref="P119:R119"/>
    <mergeCell ref="S116:AF116"/>
    <mergeCell ref="E116:R116"/>
    <mergeCell ref="I118:L118"/>
    <mergeCell ref="M118:O118"/>
    <mergeCell ref="P118:R118"/>
    <mergeCell ref="S118:V118"/>
    <mergeCell ref="W118:Z118"/>
    <mergeCell ref="AA118:AC118"/>
    <mergeCell ref="AD118:AF118"/>
    <mergeCell ref="AD117:AF117"/>
    <mergeCell ref="AA117:AC117"/>
    <mergeCell ref="W117:Z117"/>
    <mergeCell ref="S117:V117"/>
    <mergeCell ref="P117:R117"/>
    <mergeCell ref="M117:O117"/>
    <mergeCell ref="I117:L117"/>
    <mergeCell ref="E117:H117"/>
    <mergeCell ref="E118:H118"/>
    <mergeCell ref="S119:V119"/>
    <mergeCell ref="P121:R121"/>
    <mergeCell ref="S121:V121"/>
    <mergeCell ref="W121:Z121"/>
    <mergeCell ref="AA121:AC121"/>
    <mergeCell ref="AD121:AF121"/>
    <mergeCell ref="I120:L120"/>
    <mergeCell ref="M120:O120"/>
    <mergeCell ref="P120:R120"/>
    <mergeCell ref="I123:L123"/>
    <mergeCell ref="M123:O123"/>
    <mergeCell ref="P123:R123"/>
    <mergeCell ref="S123:V123"/>
    <mergeCell ref="W123:Z123"/>
    <mergeCell ref="AA123:AC123"/>
    <mergeCell ref="AD123:AF123"/>
    <mergeCell ref="I122:L122"/>
    <mergeCell ref="M122:O122"/>
    <mergeCell ref="P122:R122"/>
    <mergeCell ref="S120:V120"/>
    <mergeCell ref="S122:V122"/>
    <mergeCell ref="P127:R127"/>
    <mergeCell ref="I126:L126"/>
    <mergeCell ref="M126:O126"/>
    <mergeCell ref="P126:R126"/>
    <mergeCell ref="AD124:AF124"/>
    <mergeCell ref="I125:L125"/>
    <mergeCell ref="M125:O125"/>
    <mergeCell ref="P125:R125"/>
    <mergeCell ref="S125:V125"/>
    <mergeCell ref="W125:Z125"/>
    <mergeCell ref="AA125:AC125"/>
    <mergeCell ref="AD125:AF125"/>
    <mergeCell ref="AA124:AC124"/>
    <mergeCell ref="I124:L124"/>
    <mergeCell ref="M124:O124"/>
    <mergeCell ref="P124:R124"/>
    <mergeCell ref="AD126:AF126"/>
    <mergeCell ref="AD127:AF127"/>
    <mergeCell ref="S124:V124"/>
    <mergeCell ref="S126:V126"/>
    <mergeCell ref="S127:V127"/>
    <mergeCell ref="P132:R132"/>
    <mergeCell ref="I131:L131"/>
    <mergeCell ref="M131:O131"/>
    <mergeCell ref="P131:R131"/>
    <mergeCell ref="I130:L130"/>
    <mergeCell ref="M130:O130"/>
    <mergeCell ref="P130:R130"/>
    <mergeCell ref="AD128:AF128"/>
    <mergeCell ref="I129:L129"/>
    <mergeCell ref="M129:O129"/>
    <mergeCell ref="P129:R129"/>
    <mergeCell ref="S129:V129"/>
    <mergeCell ref="W129:Z129"/>
    <mergeCell ref="AA129:AC129"/>
    <mergeCell ref="AD129:AF129"/>
    <mergeCell ref="I128:L128"/>
    <mergeCell ref="M128:O128"/>
    <mergeCell ref="P128:R128"/>
    <mergeCell ref="AD130:AF130"/>
    <mergeCell ref="AD131:AF131"/>
    <mergeCell ref="W130:Z130"/>
    <mergeCell ref="S132:V132"/>
    <mergeCell ref="W132:Z132"/>
    <mergeCell ref="S128:V128"/>
    <mergeCell ref="S130:V130"/>
    <mergeCell ref="S131:V131"/>
    <mergeCell ref="W119:Z119"/>
    <mergeCell ref="AA119:AC119"/>
    <mergeCell ref="AD119:AF119"/>
    <mergeCell ref="W120:Z120"/>
    <mergeCell ref="AA120:AC120"/>
    <mergeCell ref="W122:Z122"/>
    <mergeCell ref="AA122:AC122"/>
    <mergeCell ref="W124:Z124"/>
    <mergeCell ref="AD133:AF133"/>
    <mergeCell ref="AD122:AF122"/>
    <mergeCell ref="AD120:AF120"/>
    <mergeCell ref="AA130:AC130"/>
    <mergeCell ref="W131:Z131"/>
    <mergeCell ref="AA131:AC131"/>
    <mergeCell ref="AA132:AC132"/>
    <mergeCell ref="AD132:AF132"/>
    <mergeCell ref="W126:Z126"/>
    <mergeCell ref="AA126:AC126"/>
    <mergeCell ref="W127:Z127"/>
    <mergeCell ref="AA127:AC127"/>
    <mergeCell ref="W128:Z128"/>
    <mergeCell ref="AA128:AC128"/>
    <mergeCell ref="AD141:AF141"/>
    <mergeCell ref="I142:L142"/>
    <mergeCell ref="M142:O142"/>
    <mergeCell ref="P142:R142"/>
    <mergeCell ref="S142:V142"/>
    <mergeCell ref="W142:Z142"/>
    <mergeCell ref="AA142:AC142"/>
    <mergeCell ref="AD142:AF142"/>
    <mergeCell ref="W133:Z133"/>
    <mergeCell ref="AA133:AC133"/>
    <mergeCell ref="I141:L141"/>
    <mergeCell ref="M141:O141"/>
    <mergeCell ref="P141:R141"/>
    <mergeCell ref="S141:V141"/>
    <mergeCell ref="W141:Z141"/>
    <mergeCell ref="AA141:AC141"/>
    <mergeCell ref="E140:R140"/>
    <mergeCell ref="S140:AF140"/>
    <mergeCell ref="I133:L133"/>
    <mergeCell ref="M133:O133"/>
    <mergeCell ref="P133:R133"/>
    <mergeCell ref="E142:H142"/>
    <mergeCell ref="P136:S136"/>
    <mergeCell ref="S133:V133"/>
    <mergeCell ref="AD143:AF143"/>
    <mergeCell ref="I144:L144"/>
    <mergeCell ref="M144:O144"/>
    <mergeCell ref="P144:R144"/>
    <mergeCell ref="S144:V144"/>
    <mergeCell ref="W144:Z144"/>
    <mergeCell ref="AA144:AC144"/>
    <mergeCell ref="AD144:AF144"/>
    <mergeCell ref="AD147:AF147"/>
    <mergeCell ref="AD148:AF148"/>
    <mergeCell ref="AD145:AF145"/>
    <mergeCell ref="I146:L146"/>
    <mergeCell ref="M146:O146"/>
    <mergeCell ref="P146:R146"/>
    <mergeCell ref="S146:V146"/>
    <mergeCell ref="W146:Z146"/>
    <mergeCell ref="AA146:AC146"/>
    <mergeCell ref="AD146:AF146"/>
    <mergeCell ref="AD149:AF149"/>
    <mergeCell ref="I150:L150"/>
    <mergeCell ref="M150:O150"/>
    <mergeCell ref="P150:R150"/>
    <mergeCell ref="S150:V150"/>
    <mergeCell ref="W150:Z150"/>
    <mergeCell ref="AA150:AC150"/>
    <mergeCell ref="AD150:AF150"/>
    <mergeCell ref="I149:L149"/>
    <mergeCell ref="M149:O149"/>
    <mergeCell ref="P149:R149"/>
    <mergeCell ref="S149:V149"/>
    <mergeCell ref="W149:Z149"/>
    <mergeCell ref="AA149:AC149"/>
    <mergeCell ref="D192:M192"/>
    <mergeCell ref="D193:M193"/>
    <mergeCell ref="D194:M194"/>
    <mergeCell ref="D195:M195"/>
    <mergeCell ref="I177:L177"/>
    <mergeCell ref="I175:L175"/>
    <mergeCell ref="E174:H177"/>
    <mergeCell ref="M174:P177"/>
    <mergeCell ref="E182:AF185"/>
    <mergeCell ref="R190:AF190"/>
    <mergeCell ref="R191:AF194"/>
    <mergeCell ref="R195:AF195"/>
    <mergeCell ref="C190:Q190"/>
    <mergeCell ref="N191:Q191"/>
    <mergeCell ref="N192:Q192"/>
    <mergeCell ref="N193:Q193"/>
    <mergeCell ref="N194:Q194"/>
    <mergeCell ref="N195:Q195"/>
    <mergeCell ref="D191:M191"/>
    <mergeCell ref="E179:O179"/>
    <mergeCell ref="P179:S179"/>
    <mergeCell ref="Q176:T176"/>
    <mergeCell ref="E188:O188"/>
    <mergeCell ref="P188:S188"/>
    <mergeCell ref="Y167:AB167"/>
    <mergeCell ref="AC167:AF167"/>
    <mergeCell ref="Q177:T177"/>
    <mergeCell ref="U177:X177"/>
    <mergeCell ref="Y177:AB177"/>
    <mergeCell ref="AC177:AF177"/>
    <mergeCell ref="I166:L166"/>
    <mergeCell ref="M166:P169"/>
    <mergeCell ref="Q166:T166"/>
    <mergeCell ref="U166:X166"/>
    <mergeCell ref="Y166:AB166"/>
    <mergeCell ref="AC169:AF169"/>
    <mergeCell ref="E170:H173"/>
    <mergeCell ref="I170:L170"/>
    <mergeCell ref="M170:P173"/>
    <mergeCell ref="Q170:T170"/>
    <mergeCell ref="U170:X170"/>
    <mergeCell ref="Y170:AB170"/>
    <mergeCell ref="AC170:AF170"/>
    <mergeCell ref="I171:L171"/>
    <mergeCell ref="Q171:T171"/>
    <mergeCell ref="AC173:AF173"/>
    <mergeCell ref="E166:H169"/>
    <mergeCell ref="H4:P4"/>
    <mergeCell ref="H5:P5"/>
    <mergeCell ref="U176:X176"/>
    <mergeCell ref="Y176:AB176"/>
    <mergeCell ref="AC176:AF176"/>
    <mergeCell ref="I168:L168"/>
    <mergeCell ref="I172:L172"/>
    <mergeCell ref="I176:L176"/>
    <mergeCell ref="Q168:T168"/>
    <mergeCell ref="U168:X168"/>
    <mergeCell ref="Y168:AB168"/>
    <mergeCell ref="AC168:AF168"/>
    <mergeCell ref="Q172:T172"/>
    <mergeCell ref="U172:X172"/>
    <mergeCell ref="Y172:AB172"/>
    <mergeCell ref="AC172:AF172"/>
    <mergeCell ref="U171:X171"/>
    <mergeCell ref="Y171:AB171"/>
    <mergeCell ref="AC171:AF171"/>
    <mergeCell ref="I173:L173"/>
    <mergeCell ref="Q173:T173"/>
    <mergeCell ref="U173:X173"/>
    <mergeCell ref="Y173:AB173"/>
  </mergeCells>
  <pageMargins left="0.70866141732283472" right="0.51181102362204722" top="0.74803149606299213" bottom="0.74803149606299213" header="0.31496062992125984" footer="0.31496062992125984"/>
  <pageSetup scale="75" orientation="portrait" r:id="rId1"/>
  <rowBreaks count="4" manualBreakCount="4">
    <brk id="42" min="1" max="31" man="1"/>
    <brk id="89" min="1" max="32" man="1"/>
    <brk id="137" min="1" max="31" man="1"/>
    <brk id="180" min="1" max="3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'DATA VALIDASI'!$F$2:$F$3</xm:f>
          </x14:formula1>
          <xm:sqref>J158:M159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65"/>
  <sheetViews>
    <sheetView view="pageBreakPreview" topLeftCell="B50" zoomScaleNormal="100" zoomScaleSheetLayoutView="100" workbookViewId="0">
      <selection activeCell="AB43" sqref="AB43:AF43"/>
    </sheetView>
  </sheetViews>
  <sheetFormatPr defaultColWidth="8.81640625" defaultRowHeight="16.899999999999999" customHeight="1" x14ac:dyDescent="0.35"/>
  <cols>
    <col min="1" max="1" width="4.1796875" style="1" customWidth="1"/>
    <col min="2" max="11" width="3.7265625" style="1" customWidth="1"/>
    <col min="12" max="12" width="6.54296875" style="1" customWidth="1"/>
    <col min="13" max="107" width="3.7265625" style="1" customWidth="1"/>
    <col min="108" max="16384" width="8.81640625" style="1"/>
  </cols>
  <sheetData>
    <row r="1" spans="2:33" ht="16.899999999999999" customHeight="1" thickBot="1" x14ac:dyDescent="0.4"/>
    <row r="2" spans="2:33" ht="16.899999999999999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899999999999999" customHeight="1" x14ac:dyDescent="0.35">
      <c r="B3" s="22"/>
      <c r="C3" s="5"/>
      <c r="D3" s="6"/>
      <c r="E3" s="38" t="s">
        <v>10</v>
      </c>
      <c r="F3" s="38"/>
      <c r="G3" s="3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899999999999999" customHeight="1" x14ac:dyDescent="0.35">
      <c r="B4" s="22"/>
      <c r="C4" s="8"/>
      <c r="E4" s="104" t="s">
        <v>0</v>
      </c>
      <c r="F4" s="104"/>
      <c r="G4" s="14" t="s">
        <v>11</v>
      </c>
      <c r="H4" s="108" t="s">
        <v>292</v>
      </c>
      <c r="I4" s="108"/>
      <c r="J4" s="108"/>
      <c r="K4" s="108"/>
      <c r="L4" s="108"/>
      <c r="M4" s="108"/>
      <c r="N4" s="108"/>
      <c r="O4" s="108"/>
      <c r="P4" s="108"/>
      <c r="AF4" s="10"/>
      <c r="AG4" s="23"/>
    </row>
    <row r="5" spans="2:33" ht="16.899999999999999" customHeight="1" x14ac:dyDescent="0.35">
      <c r="B5" s="22"/>
      <c r="C5" s="11"/>
      <c r="D5" s="12"/>
      <c r="E5" s="105" t="s">
        <v>1</v>
      </c>
      <c r="F5" s="105"/>
      <c r="G5" s="40" t="s">
        <v>11</v>
      </c>
      <c r="H5" s="109" t="s">
        <v>292</v>
      </c>
      <c r="I5" s="109"/>
      <c r="J5" s="109"/>
      <c r="K5" s="109"/>
      <c r="L5" s="109"/>
      <c r="M5" s="109"/>
      <c r="N5" s="109"/>
      <c r="O5" s="109"/>
      <c r="P5" s="109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899999999999999" customHeight="1" x14ac:dyDescent="0.35">
      <c r="B6" s="22"/>
      <c r="E6" s="9"/>
      <c r="F6" s="9"/>
      <c r="H6" s="2"/>
      <c r="I6" s="2"/>
      <c r="J6" s="2"/>
      <c r="K6" s="2"/>
      <c r="L6" s="2"/>
      <c r="M6" s="2"/>
      <c r="N6" s="2"/>
      <c r="O6" s="2"/>
      <c r="P6" s="2"/>
      <c r="AG6" s="23"/>
    </row>
    <row r="7" spans="2:33" ht="16.899999999999999" customHeight="1" x14ac:dyDescent="0.35">
      <c r="B7" s="22"/>
      <c r="C7" s="14">
        <v>3</v>
      </c>
      <c r="D7" s="14"/>
      <c r="E7" s="14" t="s">
        <v>209</v>
      </c>
      <c r="F7" s="9"/>
      <c r="H7" s="2"/>
      <c r="I7" s="2"/>
      <c r="J7" s="2"/>
      <c r="K7" s="2"/>
      <c r="L7" s="2"/>
      <c r="M7" s="2"/>
      <c r="N7" s="2"/>
      <c r="O7" s="2"/>
      <c r="P7" s="2"/>
      <c r="AG7" s="23"/>
    </row>
    <row r="8" spans="2:33" ht="16.899999999999999" customHeight="1" x14ac:dyDescent="0.35">
      <c r="B8" s="22"/>
      <c r="C8" s="14"/>
      <c r="D8" s="14"/>
      <c r="E8" s="14"/>
      <c r="F8" s="9"/>
      <c r="H8" s="2"/>
      <c r="I8" s="2"/>
      <c r="J8" s="2"/>
      <c r="K8" s="2"/>
      <c r="L8" s="2"/>
      <c r="M8" s="2"/>
      <c r="N8" s="2"/>
      <c r="O8" s="2"/>
      <c r="P8" s="2"/>
      <c r="AG8" s="23"/>
    </row>
    <row r="9" spans="2:33" ht="16.899999999999999" customHeight="1" x14ac:dyDescent="0.35">
      <c r="B9" s="22"/>
      <c r="C9" s="14"/>
      <c r="D9" s="14"/>
      <c r="E9" s="54" t="s">
        <v>210</v>
      </c>
      <c r="F9" s="54"/>
      <c r="G9" s="54"/>
      <c r="H9" s="54"/>
      <c r="I9" s="54"/>
      <c r="J9" s="54"/>
      <c r="K9" s="36" t="s">
        <v>11</v>
      </c>
      <c r="L9" s="51">
        <v>1.2</v>
      </c>
      <c r="M9" s="51"/>
      <c r="N9" s="51"/>
      <c r="O9" s="51" t="s">
        <v>214</v>
      </c>
      <c r="P9" s="51"/>
      <c r="AG9" s="23"/>
    </row>
    <row r="10" spans="2:33" ht="16.899999999999999" customHeight="1" x14ac:dyDescent="0.35">
      <c r="B10" s="22"/>
      <c r="C10" s="14"/>
      <c r="D10" s="14"/>
      <c r="E10" s="54" t="s">
        <v>211</v>
      </c>
      <c r="F10" s="54"/>
      <c r="G10" s="54"/>
      <c r="H10" s="54"/>
      <c r="I10" s="54"/>
      <c r="J10" s="54"/>
      <c r="K10" s="36" t="s">
        <v>11</v>
      </c>
      <c r="L10" s="51">
        <v>0.43</v>
      </c>
      <c r="M10" s="51"/>
      <c r="N10" s="51"/>
      <c r="O10" s="51"/>
      <c r="P10" s="51"/>
      <c r="AG10" s="23"/>
    </row>
    <row r="11" spans="2:33" ht="16.899999999999999" customHeight="1" x14ac:dyDescent="0.35">
      <c r="B11" s="22"/>
      <c r="E11" s="54" t="s">
        <v>212</v>
      </c>
      <c r="F11" s="54"/>
      <c r="G11" s="54"/>
      <c r="H11" s="54"/>
      <c r="I11" s="54"/>
      <c r="J11" s="54"/>
      <c r="K11" s="36" t="s">
        <v>11</v>
      </c>
      <c r="L11" s="51">
        <v>0.4</v>
      </c>
      <c r="M11" s="51"/>
      <c r="N11" s="51"/>
      <c r="O11" s="51" t="s">
        <v>214</v>
      </c>
      <c r="P11" s="51"/>
      <c r="AG11" s="23"/>
    </row>
    <row r="12" spans="2:33" ht="16.899999999999999" customHeight="1" x14ac:dyDescent="0.35">
      <c r="B12" s="22"/>
      <c r="E12" s="54" t="s">
        <v>213</v>
      </c>
      <c r="F12" s="54"/>
      <c r="G12" s="54"/>
      <c r="H12" s="54"/>
      <c r="I12" s="54"/>
      <c r="J12" s="54"/>
      <c r="K12" s="36" t="s">
        <v>11</v>
      </c>
      <c r="L12" s="51">
        <v>0.65</v>
      </c>
      <c r="M12" s="51"/>
      <c r="N12" s="51"/>
      <c r="O12" s="51"/>
      <c r="P12" s="51"/>
      <c r="AG12" s="23"/>
    </row>
    <row r="13" spans="2:33" ht="16.899999999999999" customHeight="1" x14ac:dyDescent="0.35">
      <c r="B13" s="22"/>
      <c r="AG13" s="23"/>
    </row>
    <row r="14" spans="2:33" ht="16.899999999999999" customHeight="1" x14ac:dyDescent="0.35">
      <c r="B14" s="22"/>
      <c r="C14" s="14" t="s">
        <v>255</v>
      </c>
      <c r="D14" s="14"/>
      <c r="E14" s="14" t="s">
        <v>224</v>
      </c>
      <c r="AG14" s="24"/>
    </row>
    <row r="15" spans="2:33" ht="16.899999999999999" customHeight="1" thickBot="1" x14ac:dyDescent="0.4">
      <c r="B15" s="22"/>
      <c r="AG15" s="23"/>
    </row>
    <row r="16" spans="2:33" ht="37.15" customHeight="1" thickBot="1" x14ac:dyDescent="0.4">
      <c r="B16" s="22"/>
      <c r="E16" s="140" t="s">
        <v>112</v>
      </c>
      <c r="F16" s="141"/>
      <c r="G16" s="141"/>
      <c r="H16" s="141"/>
      <c r="I16" s="141" t="s">
        <v>54</v>
      </c>
      <c r="J16" s="141"/>
      <c r="K16" s="141"/>
      <c r="L16" s="141"/>
      <c r="M16" s="102" t="s">
        <v>220</v>
      </c>
      <c r="N16" s="102"/>
      <c r="O16" s="102"/>
      <c r="P16" s="102"/>
      <c r="Q16" s="102"/>
      <c r="R16" s="102" t="s">
        <v>221</v>
      </c>
      <c r="S16" s="102"/>
      <c r="T16" s="102"/>
      <c r="U16" s="102"/>
      <c r="V16" s="102"/>
      <c r="W16" s="102" t="s">
        <v>222</v>
      </c>
      <c r="X16" s="102"/>
      <c r="Y16" s="102"/>
      <c r="Z16" s="102"/>
      <c r="AA16" s="102"/>
      <c r="AB16" s="102" t="s">
        <v>219</v>
      </c>
      <c r="AC16" s="102"/>
      <c r="AD16" s="102"/>
      <c r="AE16" s="102"/>
      <c r="AF16" s="103"/>
      <c r="AG16" s="23"/>
    </row>
    <row r="17" spans="2:33" ht="16.899999999999999" customHeight="1" x14ac:dyDescent="0.35">
      <c r="B17" s="22"/>
      <c r="E17" s="149" t="s">
        <v>215</v>
      </c>
      <c r="F17" s="150"/>
      <c r="G17" s="150"/>
      <c r="H17" s="150"/>
      <c r="I17" s="74" t="s">
        <v>217</v>
      </c>
      <c r="J17" s="74"/>
      <c r="K17" s="74"/>
      <c r="L17" s="74"/>
      <c r="M17" s="193">
        <v>1.2</v>
      </c>
      <c r="N17" s="194"/>
      <c r="O17" s="194"/>
      <c r="P17" s="194"/>
      <c r="Q17" s="194"/>
      <c r="R17" s="193">
        <v>1.2</v>
      </c>
      <c r="S17" s="194"/>
      <c r="T17" s="194"/>
      <c r="U17" s="194"/>
      <c r="V17" s="194"/>
      <c r="W17" s="193">
        <v>1.2</v>
      </c>
      <c r="X17" s="194"/>
      <c r="Y17" s="194"/>
      <c r="Z17" s="194"/>
      <c r="AA17" s="194"/>
      <c r="AB17" s="194">
        <v>0.4</v>
      </c>
      <c r="AC17" s="194"/>
      <c r="AD17" s="194"/>
      <c r="AE17" s="194"/>
      <c r="AF17" s="195"/>
      <c r="AG17" s="23"/>
    </row>
    <row r="18" spans="2:33" ht="16.899999999999999" customHeight="1" x14ac:dyDescent="0.35">
      <c r="B18" s="22"/>
      <c r="E18" s="147"/>
      <c r="F18" s="148"/>
      <c r="G18" s="148"/>
      <c r="H18" s="148"/>
      <c r="I18" s="76" t="s">
        <v>41</v>
      </c>
      <c r="J18" s="76"/>
      <c r="K18" s="76"/>
      <c r="L18" s="213"/>
      <c r="M18" s="176">
        <f>IFERROR(((M17-$L$9)/$L$9),0)</f>
        <v>0</v>
      </c>
      <c r="N18" s="176"/>
      <c r="O18" s="176"/>
      <c r="P18" s="176"/>
      <c r="Q18" s="176"/>
      <c r="R18" s="176">
        <f t="shared" ref="R18" si="0">IFERROR(((R17-$L$9)/$L$9),0)</f>
        <v>0</v>
      </c>
      <c r="S18" s="176"/>
      <c r="T18" s="176"/>
      <c r="U18" s="176"/>
      <c r="V18" s="176"/>
      <c r="W18" s="176">
        <f>IFERROR(((W17-$L$9)/$L$9),0)</f>
        <v>0</v>
      </c>
      <c r="X18" s="176"/>
      <c r="Y18" s="176"/>
      <c r="Z18" s="176"/>
      <c r="AA18" s="176"/>
      <c r="AB18" s="176">
        <f>IFERROR(((AB17-$L$11)/$L$11),0)</f>
        <v>0</v>
      </c>
      <c r="AC18" s="176"/>
      <c r="AD18" s="176"/>
      <c r="AE18" s="176"/>
      <c r="AF18" s="179"/>
      <c r="AG18" s="31">
        <f>COUNTIF(M19:AF19,6)</f>
        <v>0</v>
      </c>
    </row>
    <row r="19" spans="2:33" ht="16.899999999999999" customHeight="1" x14ac:dyDescent="0.35">
      <c r="B19" s="22"/>
      <c r="E19" s="147"/>
      <c r="F19" s="148"/>
      <c r="G19" s="148"/>
      <c r="H19" s="148"/>
      <c r="I19" s="76" t="s">
        <v>8</v>
      </c>
      <c r="J19" s="76"/>
      <c r="K19" s="76"/>
      <c r="L19" s="213"/>
      <c r="M19" s="199">
        <f>IF((ABS(M18)&lt;=0.05),9,IF((ABS(M18)&lt;=0.1),6,1))</f>
        <v>9</v>
      </c>
      <c r="N19" s="199"/>
      <c r="O19" s="199"/>
      <c r="P19" s="199"/>
      <c r="Q19" s="199"/>
      <c r="R19" s="199">
        <f t="shared" ref="R19" si="1">IF((ABS(R18)&lt;=0.05),9,IF((ABS(R18)&lt;=0.1),6,1))</f>
        <v>9</v>
      </c>
      <c r="S19" s="199"/>
      <c r="T19" s="199"/>
      <c r="U19" s="199"/>
      <c r="V19" s="199"/>
      <c r="W19" s="199">
        <f>IF((ABS(W18)&lt;=0.05),9,IF((ABS(W18)&lt;=0.1),6,1))</f>
        <v>9</v>
      </c>
      <c r="X19" s="199"/>
      <c r="Y19" s="199"/>
      <c r="Z19" s="199"/>
      <c r="AA19" s="199"/>
      <c r="AB19" s="199">
        <f>IF((ABS(AB18)&lt;=0.05),9,IF((ABS(AB18)&lt;=0.1),6,1))</f>
        <v>9</v>
      </c>
      <c r="AC19" s="199"/>
      <c r="AD19" s="199"/>
      <c r="AE19" s="199"/>
      <c r="AF19" s="200"/>
      <c r="AG19" s="31">
        <f>COUNTIF(M19:AF19,1)</f>
        <v>0</v>
      </c>
    </row>
    <row r="20" spans="2:33" ht="16.899999999999999" customHeight="1" x14ac:dyDescent="0.35">
      <c r="B20" s="22"/>
      <c r="E20" s="147" t="s">
        <v>216</v>
      </c>
      <c r="F20" s="148"/>
      <c r="G20" s="148"/>
      <c r="H20" s="148"/>
      <c r="I20" s="76" t="s">
        <v>217</v>
      </c>
      <c r="J20" s="76"/>
      <c r="K20" s="76"/>
      <c r="L20" s="76"/>
      <c r="M20" s="197">
        <v>1.1399999999999999</v>
      </c>
      <c r="N20" s="198"/>
      <c r="O20" s="198"/>
      <c r="P20" s="198"/>
      <c r="Q20" s="198"/>
      <c r="R20" s="198">
        <v>1.1399999999999999</v>
      </c>
      <c r="S20" s="198"/>
      <c r="T20" s="198"/>
      <c r="U20" s="198"/>
      <c r="V20" s="198"/>
      <c r="W20" s="197">
        <v>1.1399999999999999</v>
      </c>
      <c r="X20" s="198"/>
      <c r="Y20" s="198"/>
      <c r="Z20" s="198"/>
      <c r="AA20" s="198"/>
      <c r="AB20" s="198">
        <v>0.38</v>
      </c>
      <c r="AC20" s="198"/>
      <c r="AD20" s="198"/>
      <c r="AE20" s="198"/>
      <c r="AF20" s="198"/>
      <c r="AG20" s="23"/>
    </row>
    <row r="21" spans="2:33" ht="16.899999999999999" customHeight="1" x14ac:dyDescent="0.35">
      <c r="B21" s="22"/>
      <c r="E21" s="147"/>
      <c r="F21" s="148"/>
      <c r="G21" s="148"/>
      <c r="H21" s="148"/>
      <c r="I21" s="76" t="s">
        <v>218</v>
      </c>
      <c r="J21" s="76"/>
      <c r="K21" s="76"/>
      <c r="L21" s="213"/>
      <c r="M21" s="176">
        <f>IFERROR((M20/M17),0)</f>
        <v>0.95</v>
      </c>
      <c r="N21" s="176"/>
      <c r="O21" s="176"/>
      <c r="P21" s="176"/>
      <c r="Q21" s="176"/>
      <c r="R21" s="176">
        <f t="shared" ref="R21" si="2">IFERROR((R20/R17),0)</f>
        <v>0.95</v>
      </c>
      <c r="S21" s="176"/>
      <c r="T21" s="176"/>
      <c r="U21" s="176"/>
      <c r="V21" s="176"/>
      <c r="W21" s="176">
        <f>IFERROR((W20/W17),0)</f>
        <v>0.95</v>
      </c>
      <c r="X21" s="176"/>
      <c r="Y21" s="176"/>
      <c r="Z21" s="176"/>
      <c r="AA21" s="176"/>
      <c r="AB21" s="176">
        <f>IFERROR((AB20/AB17),0)</f>
        <v>0.95</v>
      </c>
      <c r="AC21" s="176"/>
      <c r="AD21" s="176"/>
      <c r="AE21" s="176"/>
      <c r="AF21" s="179"/>
      <c r="AG21" s="31">
        <f>COUNTIF(M22:AF22,6)</f>
        <v>0</v>
      </c>
    </row>
    <row r="22" spans="2:33" ht="16.899999999999999" customHeight="1" thickBot="1" x14ac:dyDescent="0.4">
      <c r="B22" s="22"/>
      <c r="E22" s="142"/>
      <c r="F22" s="143"/>
      <c r="G22" s="143"/>
      <c r="H22" s="143"/>
      <c r="I22" s="78" t="s">
        <v>8</v>
      </c>
      <c r="J22" s="78"/>
      <c r="K22" s="78"/>
      <c r="L22" s="210"/>
      <c r="M22" s="196">
        <f>IF((ABS(M21)&gt;=0.95),9,IF((ABS(M21)&gt;=0.9),6,IF((ABS(M21)=0),9,1)))</f>
        <v>9</v>
      </c>
      <c r="N22" s="196"/>
      <c r="O22" s="196"/>
      <c r="P22" s="196"/>
      <c r="Q22" s="196"/>
      <c r="R22" s="196">
        <f>IF((ABS(R21)&gt;=0.95),9,IF((ABS(R21)&gt;=0.9),6,IF((ABS(R21)=0),9,1)))</f>
        <v>9</v>
      </c>
      <c r="S22" s="196"/>
      <c r="T22" s="196"/>
      <c r="U22" s="196"/>
      <c r="V22" s="196"/>
      <c r="W22" s="196">
        <f>IF((ABS(W21)&gt;=0.95),9,IF((ABS(W21)&gt;=0.9),6,IF((ABS(W21)=0),9,1)))</f>
        <v>9</v>
      </c>
      <c r="X22" s="196"/>
      <c r="Y22" s="196"/>
      <c r="Z22" s="196"/>
      <c r="AA22" s="196"/>
      <c r="AB22" s="196">
        <f>IF((ABS(AB21)&gt;=0.95),9,IF((ABS(AB21)&gt;=0.9),6,IF((ABS(AB21)=0),9,1)))</f>
        <v>9</v>
      </c>
      <c r="AC22" s="196"/>
      <c r="AD22" s="196"/>
      <c r="AE22" s="196"/>
      <c r="AF22" s="196"/>
      <c r="AG22" s="31">
        <f>COUNTIF(M22:AF22,1)</f>
        <v>0</v>
      </c>
    </row>
    <row r="23" spans="2:33" ht="16.899999999999999" customHeight="1" x14ac:dyDescent="0.35">
      <c r="B23" s="2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G23" s="23"/>
    </row>
    <row r="24" spans="2:33" ht="16.899999999999999" customHeight="1" x14ac:dyDescent="0.35">
      <c r="B24" s="22"/>
      <c r="E24" s="67" t="s">
        <v>223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91">
        <f>MIN(M19:AF19,M22:AF22)</f>
        <v>9</v>
      </c>
      <c r="Q24" s="91"/>
      <c r="R24" s="91"/>
      <c r="S24" s="91"/>
      <c r="AG24" s="23"/>
    </row>
    <row r="25" spans="2:33" ht="16.899999999999999" customHeight="1" x14ac:dyDescent="0.35">
      <c r="B25" s="22"/>
      <c r="AG25" s="23"/>
    </row>
    <row r="26" spans="2:33" ht="16.899999999999999" customHeight="1" x14ac:dyDescent="0.35">
      <c r="B26" s="22"/>
      <c r="C26" s="14" t="s">
        <v>256</v>
      </c>
      <c r="D26" s="14"/>
      <c r="E26" s="14" t="s">
        <v>225</v>
      </c>
      <c r="AG26" s="23"/>
    </row>
    <row r="27" spans="2:33" ht="16.899999999999999" customHeight="1" thickBot="1" x14ac:dyDescent="0.4">
      <c r="B27" s="22"/>
      <c r="AG27" s="23"/>
    </row>
    <row r="28" spans="2:33" ht="37.15" customHeight="1" thickBot="1" x14ac:dyDescent="0.4">
      <c r="B28" s="22"/>
      <c r="E28" s="140" t="s">
        <v>232</v>
      </c>
      <c r="F28" s="141"/>
      <c r="G28" s="141"/>
      <c r="H28" s="141"/>
      <c r="I28" s="141" t="s">
        <v>54</v>
      </c>
      <c r="J28" s="141"/>
      <c r="K28" s="141"/>
      <c r="L28" s="141"/>
      <c r="M28" s="102" t="s">
        <v>226</v>
      </c>
      <c r="N28" s="102"/>
      <c r="O28" s="102"/>
      <c r="P28" s="102"/>
      <c r="Q28" s="102"/>
      <c r="R28" s="102" t="s">
        <v>227</v>
      </c>
      <c r="S28" s="102"/>
      <c r="T28" s="102"/>
      <c r="U28" s="102"/>
      <c r="V28" s="102"/>
      <c r="W28" s="102" t="s">
        <v>300</v>
      </c>
      <c r="X28" s="102"/>
      <c r="Y28" s="102"/>
      <c r="Z28" s="102"/>
      <c r="AA28" s="102"/>
      <c r="AB28" s="102" t="s">
        <v>228</v>
      </c>
      <c r="AC28" s="102"/>
      <c r="AD28" s="102"/>
      <c r="AE28" s="102"/>
      <c r="AF28" s="103"/>
      <c r="AG28" s="23"/>
    </row>
    <row r="29" spans="2:33" ht="16.899999999999999" customHeight="1" x14ac:dyDescent="0.35">
      <c r="B29" s="22"/>
      <c r="E29" s="149" t="s">
        <v>233</v>
      </c>
      <c r="F29" s="150"/>
      <c r="G29" s="150"/>
      <c r="H29" s="150"/>
      <c r="I29" s="74" t="s">
        <v>229</v>
      </c>
      <c r="J29" s="74"/>
      <c r="K29" s="74"/>
      <c r="L29" s="207"/>
      <c r="M29" s="208">
        <f>1.5*$L$9</f>
        <v>1.7999999999999998</v>
      </c>
      <c r="N29" s="208"/>
      <c r="O29" s="208"/>
      <c r="P29" s="208"/>
      <c r="Q29" s="208"/>
      <c r="R29" s="208">
        <f>2*$L$9</f>
        <v>2.4</v>
      </c>
      <c r="S29" s="208"/>
      <c r="T29" s="208"/>
      <c r="U29" s="208"/>
      <c r="V29" s="208"/>
      <c r="W29" s="208">
        <f>2.5*$L$9</f>
        <v>3</v>
      </c>
      <c r="X29" s="208"/>
      <c r="Y29" s="208"/>
      <c r="Z29" s="208"/>
      <c r="AA29" s="208"/>
      <c r="AB29" s="208">
        <f>3*$L$9</f>
        <v>3.5999999999999996</v>
      </c>
      <c r="AC29" s="208"/>
      <c r="AD29" s="208"/>
      <c r="AE29" s="208"/>
      <c r="AF29" s="216"/>
      <c r="AG29" s="23"/>
    </row>
    <row r="30" spans="2:33" ht="16.899999999999999" customHeight="1" x14ac:dyDescent="0.35">
      <c r="B30" s="22"/>
      <c r="E30" s="147"/>
      <c r="F30" s="148"/>
      <c r="G30" s="148"/>
      <c r="H30" s="148"/>
      <c r="I30" s="76" t="s">
        <v>230</v>
      </c>
      <c r="J30" s="76"/>
      <c r="K30" s="76"/>
      <c r="L30" s="213"/>
      <c r="M30" s="214">
        <f>0.14*$L$10/(((M29/$L$9)^0.02)-1)</f>
        <v>7.3935141033742644</v>
      </c>
      <c r="N30" s="214"/>
      <c r="O30" s="214"/>
      <c r="P30" s="214"/>
      <c r="Q30" s="214"/>
      <c r="R30" s="214">
        <f t="shared" ref="R30" si="3">0.14*$L$10/(((R29/$L$9)^0.02)-1)</f>
        <v>4.3124816186201542</v>
      </c>
      <c r="S30" s="214"/>
      <c r="T30" s="214"/>
      <c r="U30" s="214"/>
      <c r="V30" s="214"/>
      <c r="W30" s="214">
        <f t="shared" ref="W30" si="4">0.14*$L$10/(((W29/$L$9)^0.02)-1)</f>
        <v>3.2549755044801154</v>
      </c>
      <c r="X30" s="214"/>
      <c r="Y30" s="214"/>
      <c r="Z30" s="214"/>
      <c r="AA30" s="214"/>
      <c r="AB30" s="214">
        <f t="shared" ref="AB30" si="5">0.14*$L$10/(((AB29/$L$9)^0.02)-1)</f>
        <v>2.7098302986928196</v>
      </c>
      <c r="AC30" s="214"/>
      <c r="AD30" s="214"/>
      <c r="AE30" s="214"/>
      <c r="AF30" s="217"/>
      <c r="AG30" s="23"/>
    </row>
    <row r="31" spans="2:33" ht="16.899999999999999" customHeight="1" x14ac:dyDescent="0.35">
      <c r="B31" s="22"/>
      <c r="E31" s="147"/>
      <c r="F31" s="148"/>
      <c r="G31" s="148"/>
      <c r="H31" s="148"/>
      <c r="I31" s="76" t="s">
        <v>231</v>
      </c>
      <c r="J31" s="76"/>
      <c r="K31" s="76"/>
      <c r="L31" s="76"/>
      <c r="M31" s="197">
        <v>7.28</v>
      </c>
      <c r="N31" s="198"/>
      <c r="O31" s="198"/>
      <c r="P31" s="198"/>
      <c r="Q31" s="198"/>
      <c r="R31" s="198">
        <v>4.266</v>
      </c>
      <c r="S31" s="198"/>
      <c r="T31" s="198"/>
      <c r="U31" s="198"/>
      <c r="V31" s="198"/>
      <c r="W31" s="198">
        <v>3.226</v>
      </c>
      <c r="X31" s="198"/>
      <c r="Y31" s="198"/>
      <c r="Z31" s="198"/>
      <c r="AA31" s="198"/>
      <c r="AB31" s="198">
        <v>2.694</v>
      </c>
      <c r="AC31" s="198"/>
      <c r="AD31" s="198"/>
      <c r="AE31" s="198"/>
      <c r="AF31" s="215"/>
      <c r="AG31" s="23"/>
    </row>
    <row r="32" spans="2:33" ht="16.899999999999999" customHeight="1" thickBot="1" x14ac:dyDescent="0.4">
      <c r="B32" s="22"/>
      <c r="E32" s="142"/>
      <c r="F32" s="143"/>
      <c r="G32" s="143"/>
      <c r="H32" s="143"/>
      <c r="I32" s="78" t="s">
        <v>41</v>
      </c>
      <c r="J32" s="78"/>
      <c r="K32" s="78"/>
      <c r="L32" s="210"/>
      <c r="M32" s="211">
        <f>IFERROR(((M31-M30)/M30),0)</f>
        <v>-1.5353200357385995E-2</v>
      </c>
      <c r="N32" s="211"/>
      <c r="O32" s="211"/>
      <c r="P32" s="211"/>
      <c r="Q32" s="211"/>
      <c r="R32" s="211">
        <f t="shared" ref="R32" si="6">IFERROR(((R31-R30)/R30),0)</f>
        <v>-1.0778392287971474E-2</v>
      </c>
      <c r="S32" s="211"/>
      <c r="T32" s="211"/>
      <c r="U32" s="211"/>
      <c r="V32" s="211"/>
      <c r="W32" s="211">
        <f t="shared" ref="W32" si="7">IFERROR(((W31-W30)/W30),0)</f>
        <v>-8.9019116857358346E-3</v>
      </c>
      <c r="X32" s="211"/>
      <c r="Y32" s="211"/>
      <c r="Z32" s="211"/>
      <c r="AA32" s="211"/>
      <c r="AB32" s="211">
        <f>IFERROR(((AB31-AB30)/AB30),0)</f>
        <v>-5.8418044482179904E-3</v>
      </c>
      <c r="AC32" s="211"/>
      <c r="AD32" s="211"/>
      <c r="AE32" s="211"/>
      <c r="AF32" s="212"/>
      <c r="AG32" s="23"/>
    </row>
    <row r="33" spans="2:33" ht="16.899999999999999" customHeight="1" x14ac:dyDescent="0.35">
      <c r="B33" s="22"/>
      <c r="E33" s="149" t="s">
        <v>234</v>
      </c>
      <c r="F33" s="150"/>
      <c r="G33" s="150"/>
      <c r="H33" s="150"/>
      <c r="I33" s="74" t="s">
        <v>229</v>
      </c>
      <c r="J33" s="74"/>
      <c r="K33" s="74"/>
      <c r="L33" s="207"/>
      <c r="M33" s="208">
        <f>1.5*$L$9</f>
        <v>1.7999999999999998</v>
      </c>
      <c r="N33" s="208"/>
      <c r="O33" s="208"/>
      <c r="P33" s="208"/>
      <c r="Q33" s="208"/>
      <c r="R33" s="208">
        <f>2*$L$9</f>
        <v>2.4</v>
      </c>
      <c r="S33" s="208"/>
      <c r="T33" s="208"/>
      <c r="U33" s="208"/>
      <c r="V33" s="208"/>
      <c r="W33" s="208">
        <f>2.5*$L$9</f>
        <v>3</v>
      </c>
      <c r="X33" s="208"/>
      <c r="Y33" s="208"/>
      <c r="Z33" s="208"/>
      <c r="AA33" s="208"/>
      <c r="AB33" s="208">
        <f>3*$L$9</f>
        <v>3.5999999999999996</v>
      </c>
      <c r="AC33" s="208"/>
      <c r="AD33" s="208"/>
      <c r="AE33" s="208"/>
      <c r="AF33" s="216"/>
      <c r="AG33" s="31">
        <f>COUNTIF(L33:AF33,1)</f>
        <v>0</v>
      </c>
    </row>
    <row r="34" spans="2:33" ht="16.899999999999999" customHeight="1" x14ac:dyDescent="0.35">
      <c r="B34" s="22"/>
      <c r="E34" s="147"/>
      <c r="F34" s="148"/>
      <c r="G34" s="148"/>
      <c r="H34" s="148"/>
      <c r="I34" s="76" t="s">
        <v>230</v>
      </c>
      <c r="J34" s="76"/>
      <c r="K34" s="76"/>
      <c r="L34" s="213"/>
      <c r="M34" s="214">
        <f>0.14*$L$10/(((M33/$L$9)^0.02)-1)</f>
        <v>7.3935141033742644</v>
      </c>
      <c r="N34" s="214"/>
      <c r="O34" s="214"/>
      <c r="P34" s="214"/>
      <c r="Q34" s="214"/>
      <c r="R34" s="214">
        <f t="shared" ref="R34" si="8">0.14*$L$10/(((R33/$L$9)^0.02)-1)</f>
        <v>4.3124816186201542</v>
      </c>
      <c r="S34" s="214"/>
      <c r="T34" s="214"/>
      <c r="U34" s="214"/>
      <c r="V34" s="214"/>
      <c r="W34" s="214">
        <f t="shared" ref="W34" si="9">0.14*$L$10/(((W33/$L$9)^0.02)-1)</f>
        <v>3.2549755044801154</v>
      </c>
      <c r="X34" s="214"/>
      <c r="Y34" s="214"/>
      <c r="Z34" s="214"/>
      <c r="AA34" s="214"/>
      <c r="AB34" s="214">
        <f t="shared" ref="AB34" si="10">0.14*$L$10/(((AB33/$L$9)^0.02)-1)</f>
        <v>2.7098302986928196</v>
      </c>
      <c r="AC34" s="214"/>
      <c r="AD34" s="214"/>
      <c r="AE34" s="214"/>
      <c r="AF34" s="217"/>
      <c r="AG34" s="31"/>
    </row>
    <row r="35" spans="2:33" ht="16.899999999999999" customHeight="1" x14ac:dyDescent="0.35">
      <c r="B35" s="22"/>
      <c r="E35" s="147"/>
      <c r="F35" s="148"/>
      <c r="G35" s="148"/>
      <c r="H35" s="148"/>
      <c r="I35" s="76" t="s">
        <v>231</v>
      </c>
      <c r="J35" s="76"/>
      <c r="K35" s="76"/>
      <c r="L35" s="76"/>
      <c r="M35" s="197">
        <v>7.2690000000000001</v>
      </c>
      <c r="N35" s="198"/>
      <c r="O35" s="198"/>
      <c r="P35" s="198"/>
      <c r="Q35" s="198"/>
      <c r="R35" s="198">
        <v>4.266</v>
      </c>
      <c r="S35" s="198"/>
      <c r="T35" s="198"/>
      <c r="U35" s="198"/>
      <c r="V35" s="198"/>
      <c r="W35" s="198">
        <v>3.2250000000000001</v>
      </c>
      <c r="X35" s="198"/>
      <c r="Y35" s="198"/>
      <c r="Z35" s="198"/>
      <c r="AA35" s="198"/>
      <c r="AB35" s="198">
        <v>2.6890000000000001</v>
      </c>
      <c r="AC35" s="198"/>
      <c r="AD35" s="198"/>
      <c r="AE35" s="198"/>
      <c r="AF35" s="215"/>
      <c r="AG35" s="31"/>
    </row>
    <row r="36" spans="2:33" ht="16.899999999999999" customHeight="1" thickBot="1" x14ac:dyDescent="0.4">
      <c r="B36" s="22"/>
      <c r="E36" s="142"/>
      <c r="F36" s="143"/>
      <c r="G36" s="143"/>
      <c r="H36" s="143"/>
      <c r="I36" s="78" t="s">
        <v>41</v>
      </c>
      <c r="J36" s="78"/>
      <c r="K36" s="78"/>
      <c r="L36" s="210"/>
      <c r="M36" s="211">
        <f>IFERROR(((M35-M34)/M34),0)</f>
        <v>-1.68409908513515E-2</v>
      </c>
      <c r="N36" s="211"/>
      <c r="O36" s="211"/>
      <c r="P36" s="211"/>
      <c r="Q36" s="211"/>
      <c r="R36" s="211">
        <f t="shared" ref="R36" si="11">IFERROR(((R35-R34)/R34),0)</f>
        <v>-1.0778392287971474E-2</v>
      </c>
      <c r="S36" s="211"/>
      <c r="T36" s="211"/>
      <c r="U36" s="211"/>
      <c r="V36" s="211"/>
      <c r="W36" s="211">
        <f t="shared" ref="W36" si="12">IFERROR(((W35-W34)/W34),0)</f>
        <v>-9.2091336597947791E-3</v>
      </c>
      <c r="X36" s="211"/>
      <c r="Y36" s="211"/>
      <c r="Z36" s="211"/>
      <c r="AA36" s="211"/>
      <c r="AB36" s="211">
        <f>IFERROR(((AB35-AB34)/AB34),0)</f>
        <v>-7.6869384414469458E-3</v>
      </c>
      <c r="AC36" s="211"/>
      <c r="AD36" s="211"/>
      <c r="AE36" s="211"/>
      <c r="AF36" s="212"/>
      <c r="AG36" s="31"/>
    </row>
    <row r="37" spans="2:33" ht="16.899999999999999" customHeight="1" x14ac:dyDescent="0.35">
      <c r="B37" s="22"/>
      <c r="E37" s="149" t="s">
        <v>235</v>
      </c>
      <c r="F37" s="150"/>
      <c r="G37" s="150"/>
      <c r="H37" s="150"/>
      <c r="I37" s="74" t="s">
        <v>229</v>
      </c>
      <c r="J37" s="74"/>
      <c r="K37" s="74"/>
      <c r="L37" s="207"/>
      <c r="M37" s="208">
        <f>1.5*$L$9</f>
        <v>1.7999999999999998</v>
      </c>
      <c r="N37" s="208"/>
      <c r="O37" s="208"/>
      <c r="P37" s="208"/>
      <c r="Q37" s="208"/>
      <c r="R37" s="208">
        <f>2*$L$9</f>
        <v>2.4</v>
      </c>
      <c r="S37" s="208"/>
      <c r="T37" s="208"/>
      <c r="U37" s="208"/>
      <c r="V37" s="208"/>
      <c r="W37" s="208">
        <f>2.5*$L$9</f>
        <v>3</v>
      </c>
      <c r="X37" s="208"/>
      <c r="Y37" s="208"/>
      <c r="Z37" s="208"/>
      <c r="AA37" s="208"/>
      <c r="AB37" s="208">
        <f>3*$L$9</f>
        <v>3.5999999999999996</v>
      </c>
      <c r="AC37" s="208"/>
      <c r="AD37" s="208"/>
      <c r="AE37" s="208"/>
      <c r="AF37" s="216"/>
      <c r="AG37" s="31"/>
    </row>
    <row r="38" spans="2:33" ht="16.899999999999999" customHeight="1" x14ac:dyDescent="0.35">
      <c r="B38" s="22"/>
      <c r="E38" s="147"/>
      <c r="F38" s="148"/>
      <c r="G38" s="148"/>
      <c r="H38" s="148"/>
      <c r="I38" s="76" t="s">
        <v>230</v>
      </c>
      <c r="J38" s="76"/>
      <c r="K38" s="76"/>
      <c r="L38" s="213"/>
      <c r="M38" s="214">
        <f>0.14*$L$10/(((M37/$L$9)^0.02)-1)</f>
        <v>7.3935141033742644</v>
      </c>
      <c r="N38" s="214"/>
      <c r="O38" s="214"/>
      <c r="P38" s="214"/>
      <c r="Q38" s="214"/>
      <c r="R38" s="214">
        <f t="shared" ref="R38" si="13">0.14*$L$10/(((R37/$L$9)^0.02)-1)</f>
        <v>4.3124816186201542</v>
      </c>
      <c r="S38" s="214"/>
      <c r="T38" s="214"/>
      <c r="U38" s="214"/>
      <c r="V38" s="214"/>
      <c r="W38" s="214">
        <f t="shared" ref="W38" si="14">0.14*$L$10/(((W37/$L$9)^0.02)-1)</f>
        <v>3.2549755044801154</v>
      </c>
      <c r="X38" s="214"/>
      <c r="Y38" s="214"/>
      <c r="Z38" s="214"/>
      <c r="AA38" s="214"/>
      <c r="AB38" s="214">
        <f t="shared" ref="AB38" si="15">0.14*$L$10/(((AB37/$L$9)^0.02)-1)</f>
        <v>2.7098302986928196</v>
      </c>
      <c r="AC38" s="214"/>
      <c r="AD38" s="214"/>
      <c r="AE38" s="214"/>
      <c r="AF38" s="217"/>
      <c r="AG38" s="31"/>
    </row>
    <row r="39" spans="2:33" ht="16.899999999999999" customHeight="1" x14ac:dyDescent="0.35">
      <c r="B39" s="22"/>
      <c r="E39" s="147"/>
      <c r="F39" s="148"/>
      <c r="G39" s="148"/>
      <c r="H39" s="148"/>
      <c r="I39" s="76" t="s">
        <v>231</v>
      </c>
      <c r="J39" s="76"/>
      <c r="K39" s="76"/>
      <c r="L39" s="76"/>
      <c r="M39" s="204">
        <v>7.3010000000000002</v>
      </c>
      <c r="N39" s="205"/>
      <c r="O39" s="205"/>
      <c r="P39" s="205"/>
      <c r="Q39" s="206"/>
      <c r="R39" s="204">
        <v>4.2720000000000002</v>
      </c>
      <c r="S39" s="205"/>
      <c r="T39" s="205"/>
      <c r="U39" s="205"/>
      <c r="V39" s="206"/>
      <c r="W39" s="204">
        <v>3.2320000000000002</v>
      </c>
      <c r="X39" s="205"/>
      <c r="Y39" s="205"/>
      <c r="Z39" s="205"/>
      <c r="AA39" s="206"/>
      <c r="AB39" s="204">
        <v>2.6920000000000002</v>
      </c>
      <c r="AC39" s="205"/>
      <c r="AD39" s="205"/>
      <c r="AE39" s="205"/>
      <c r="AF39" s="209"/>
      <c r="AG39" s="31"/>
    </row>
    <row r="40" spans="2:33" ht="16.899999999999999" customHeight="1" thickBot="1" x14ac:dyDescent="0.4">
      <c r="B40" s="22"/>
      <c r="E40" s="142"/>
      <c r="F40" s="143"/>
      <c r="G40" s="143"/>
      <c r="H40" s="143"/>
      <c r="I40" s="78" t="s">
        <v>41</v>
      </c>
      <c r="J40" s="78"/>
      <c r="K40" s="78"/>
      <c r="L40" s="210"/>
      <c r="M40" s="211">
        <f>IFERROR(((M39-M38)/M38),0)</f>
        <v>-1.2512873050724621E-2</v>
      </c>
      <c r="N40" s="211"/>
      <c r="O40" s="211"/>
      <c r="P40" s="211"/>
      <c r="Q40" s="211"/>
      <c r="R40" s="211">
        <f t="shared" ref="R40" si="16">IFERROR(((R39-R38)/R38),0)</f>
        <v>-9.3870820098954314E-3</v>
      </c>
      <c r="S40" s="211"/>
      <c r="T40" s="211"/>
      <c r="U40" s="211"/>
      <c r="V40" s="211"/>
      <c r="W40" s="211">
        <f t="shared" ref="W40" si="17">IFERROR(((W39-W38)/W38),0)</f>
        <v>-7.0585798413818944E-3</v>
      </c>
      <c r="X40" s="211"/>
      <c r="Y40" s="211"/>
      <c r="Z40" s="211"/>
      <c r="AA40" s="211"/>
      <c r="AB40" s="211">
        <f>IFERROR(((AB39-AB38)/AB38),0)</f>
        <v>-6.5798580455095068E-3</v>
      </c>
      <c r="AC40" s="211"/>
      <c r="AD40" s="211"/>
      <c r="AE40" s="211"/>
      <c r="AF40" s="212"/>
      <c r="AG40" s="31"/>
    </row>
    <row r="41" spans="2:33" ht="16.899999999999999" customHeight="1" x14ac:dyDescent="0.35">
      <c r="B41" s="22"/>
      <c r="E41" s="149" t="s">
        <v>219</v>
      </c>
      <c r="F41" s="150"/>
      <c r="G41" s="150"/>
      <c r="H41" s="150"/>
      <c r="I41" s="74" t="s">
        <v>229</v>
      </c>
      <c r="J41" s="74"/>
      <c r="K41" s="74"/>
      <c r="L41" s="207"/>
      <c r="M41" s="208">
        <f>1.5*$L$11</f>
        <v>0.60000000000000009</v>
      </c>
      <c r="N41" s="208"/>
      <c r="O41" s="208"/>
      <c r="P41" s="208"/>
      <c r="Q41" s="208"/>
      <c r="R41" s="208">
        <f>2*$L$11</f>
        <v>0.8</v>
      </c>
      <c r="S41" s="208"/>
      <c r="T41" s="208"/>
      <c r="U41" s="208"/>
      <c r="V41" s="208"/>
      <c r="W41" s="208">
        <f>2.5*$L$11</f>
        <v>1</v>
      </c>
      <c r="X41" s="208"/>
      <c r="Y41" s="208"/>
      <c r="Z41" s="208"/>
      <c r="AA41" s="208"/>
      <c r="AB41" s="208">
        <f>3*$L$11</f>
        <v>1.2000000000000002</v>
      </c>
      <c r="AC41" s="208"/>
      <c r="AD41" s="208"/>
      <c r="AE41" s="208"/>
      <c r="AF41" s="216"/>
      <c r="AG41" s="31">
        <f>COUNTIF(L41:AF41,1)</f>
        <v>1</v>
      </c>
    </row>
    <row r="42" spans="2:33" ht="16.899999999999999" customHeight="1" x14ac:dyDescent="0.35">
      <c r="B42" s="22"/>
      <c r="E42" s="147"/>
      <c r="F42" s="148"/>
      <c r="G42" s="148"/>
      <c r="H42" s="148"/>
      <c r="I42" s="76" t="s">
        <v>230</v>
      </c>
      <c r="J42" s="76"/>
      <c r="K42" s="76"/>
      <c r="L42" s="213"/>
      <c r="M42" s="214">
        <f>0.14*$L$12/(((M41/$L$11)^0.02)-1)</f>
        <v>11.17624224928668</v>
      </c>
      <c r="N42" s="214"/>
      <c r="O42" s="214"/>
      <c r="P42" s="214"/>
      <c r="Q42" s="214"/>
      <c r="R42" s="214">
        <f t="shared" ref="R42" si="18">0.14*$L$12/(((R41/$L$11)^0.02)-1)</f>
        <v>6.5188675630304669</v>
      </c>
      <c r="S42" s="214"/>
      <c r="T42" s="214"/>
      <c r="U42" s="214"/>
      <c r="V42" s="214"/>
      <c r="W42" s="214">
        <f t="shared" ref="W42" si="19">0.14*$L$12/(((W41/$L$11)^0.02)-1)</f>
        <v>4.920311809097849</v>
      </c>
      <c r="X42" s="214"/>
      <c r="Y42" s="214"/>
      <c r="Z42" s="214"/>
      <c r="AA42" s="214"/>
      <c r="AB42" s="214">
        <f t="shared" ref="AB42" si="20">0.14*$L$12/(((AB41/$L$11)^0.02)-1)</f>
        <v>4.0962551026751921</v>
      </c>
      <c r="AC42" s="214"/>
      <c r="AD42" s="214"/>
      <c r="AE42" s="214"/>
      <c r="AF42" s="217"/>
      <c r="AG42" s="31"/>
    </row>
    <row r="43" spans="2:33" ht="16.899999999999999" customHeight="1" x14ac:dyDescent="0.35">
      <c r="B43" s="22"/>
      <c r="E43" s="147"/>
      <c r="F43" s="148"/>
      <c r="G43" s="148"/>
      <c r="H43" s="148"/>
      <c r="I43" s="76" t="s">
        <v>231</v>
      </c>
      <c r="J43" s="76"/>
      <c r="K43" s="76"/>
      <c r="L43" s="76"/>
      <c r="M43" s="197">
        <v>11.21</v>
      </c>
      <c r="N43" s="198"/>
      <c r="O43" s="198"/>
      <c r="P43" s="198"/>
      <c r="Q43" s="198"/>
      <c r="R43" s="198">
        <v>6.5369999999999999</v>
      </c>
      <c r="S43" s="198"/>
      <c r="T43" s="198"/>
      <c r="U43" s="198"/>
      <c r="V43" s="198"/>
      <c r="W43" s="198">
        <v>4.9379999999999997</v>
      </c>
      <c r="X43" s="198"/>
      <c r="Y43" s="198"/>
      <c r="Z43" s="198"/>
      <c r="AA43" s="198"/>
      <c r="AB43" s="198">
        <v>4.1180000000000003</v>
      </c>
      <c r="AC43" s="198"/>
      <c r="AD43" s="198"/>
      <c r="AE43" s="198"/>
      <c r="AF43" s="215"/>
      <c r="AG43" s="31"/>
    </row>
    <row r="44" spans="2:33" ht="16.899999999999999" customHeight="1" thickBot="1" x14ac:dyDescent="0.4">
      <c r="B44" s="22"/>
      <c r="E44" s="142"/>
      <c r="F44" s="143"/>
      <c r="G44" s="143"/>
      <c r="H44" s="143"/>
      <c r="I44" s="78" t="s">
        <v>41</v>
      </c>
      <c r="J44" s="78"/>
      <c r="K44" s="78"/>
      <c r="L44" s="210"/>
      <c r="M44" s="211">
        <f>IFERROR(((M43-M42)/M42),0)</f>
        <v>3.0204920366212543E-3</v>
      </c>
      <c r="N44" s="211"/>
      <c r="O44" s="211"/>
      <c r="P44" s="211"/>
      <c r="Q44" s="211"/>
      <c r="R44" s="211">
        <f t="shared" ref="R44" si="21">IFERROR(((R43-R42)/R42),0)</f>
        <v>2.7815317298920091E-3</v>
      </c>
      <c r="S44" s="211"/>
      <c r="T44" s="211"/>
      <c r="U44" s="211"/>
      <c r="V44" s="211"/>
      <c r="W44" s="211">
        <f t="shared" ref="W44" si="22">IFERROR(((W43-W42)/W42),0)</f>
        <v>3.5949329206016014E-3</v>
      </c>
      <c r="X44" s="211"/>
      <c r="Y44" s="211"/>
      <c r="Z44" s="211"/>
      <c r="AA44" s="211"/>
      <c r="AB44" s="211">
        <f>IFERROR(((AB43-AB42)/AB42),0)</f>
        <v>5.3084822062490714E-3</v>
      </c>
      <c r="AC44" s="211"/>
      <c r="AD44" s="211"/>
      <c r="AE44" s="211"/>
      <c r="AF44" s="212"/>
      <c r="AG44" s="31"/>
    </row>
    <row r="45" spans="2:33" ht="16.899999999999999" customHeight="1" x14ac:dyDescent="0.35">
      <c r="B45" s="22"/>
      <c r="E45" s="149" t="s">
        <v>236</v>
      </c>
      <c r="F45" s="150"/>
      <c r="G45" s="150"/>
      <c r="H45" s="150"/>
      <c r="I45" s="150"/>
      <c r="J45" s="150"/>
      <c r="K45" s="150"/>
      <c r="L45" s="222"/>
      <c r="M45" s="220">
        <f>MAX(ABS(M32),ABS(M36),ABS(M40),ABS(M44))</f>
        <v>1.68409908513515E-2</v>
      </c>
      <c r="N45" s="220"/>
      <c r="O45" s="220"/>
      <c r="P45" s="220"/>
      <c r="Q45" s="220"/>
      <c r="R45" s="220">
        <f t="shared" ref="R45" si="23">MAX(ABS(R32),ABS(R36),ABS(R40),ABS(R44))</f>
        <v>1.0778392287971474E-2</v>
      </c>
      <c r="S45" s="220"/>
      <c r="T45" s="220"/>
      <c r="U45" s="220"/>
      <c r="V45" s="220"/>
      <c r="W45" s="220">
        <f t="shared" ref="W45" si="24">MAX(ABS(W32),ABS(W36),ABS(W40),ABS(W44))</f>
        <v>9.2091336597947791E-3</v>
      </c>
      <c r="X45" s="220"/>
      <c r="Y45" s="220"/>
      <c r="Z45" s="220"/>
      <c r="AA45" s="220"/>
      <c r="AB45" s="220">
        <f t="shared" ref="AB45" si="25">MAX(ABS(AB32),ABS(AB36),ABS(AB40),ABS(AB44))</f>
        <v>7.6869384414469458E-3</v>
      </c>
      <c r="AC45" s="220"/>
      <c r="AD45" s="220"/>
      <c r="AE45" s="220"/>
      <c r="AF45" s="221"/>
      <c r="AG45" s="31"/>
    </row>
    <row r="46" spans="2:33" ht="16.899999999999999" customHeight="1" thickBot="1" x14ac:dyDescent="0.4">
      <c r="B46" s="22"/>
      <c r="E46" s="142" t="s">
        <v>237</v>
      </c>
      <c r="F46" s="143"/>
      <c r="G46" s="143"/>
      <c r="H46" s="143"/>
      <c r="I46" s="143"/>
      <c r="J46" s="143"/>
      <c r="K46" s="143"/>
      <c r="L46" s="218"/>
      <c r="M46" s="196">
        <f>IF((ABS(M45)&lt;=0.05),9,IF((ABS(M45)&lt;=0.1),6,1))</f>
        <v>9</v>
      </c>
      <c r="N46" s="196"/>
      <c r="O46" s="196"/>
      <c r="P46" s="196"/>
      <c r="Q46" s="196"/>
      <c r="R46" s="196">
        <f t="shared" ref="R46" si="26">IF((ABS(R45)&lt;=0.05),9,IF((ABS(R45)&lt;=0.1),6,1))</f>
        <v>9</v>
      </c>
      <c r="S46" s="196"/>
      <c r="T46" s="196"/>
      <c r="U46" s="196"/>
      <c r="V46" s="196"/>
      <c r="W46" s="196">
        <f t="shared" ref="W46" si="27">IF((ABS(W45)&lt;=0.05),9,IF((ABS(W45)&lt;=0.1),6,1))</f>
        <v>9</v>
      </c>
      <c r="X46" s="196"/>
      <c r="Y46" s="196"/>
      <c r="Z46" s="196"/>
      <c r="AA46" s="196"/>
      <c r="AB46" s="196">
        <f t="shared" ref="AB46" si="28">IF((ABS(AB45)&lt;=0.05),9,IF((ABS(AB45)&lt;=0.1),6,1))</f>
        <v>9</v>
      </c>
      <c r="AC46" s="196"/>
      <c r="AD46" s="196"/>
      <c r="AE46" s="196"/>
      <c r="AF46" s="219"/>
      <c r="AG46" s="31"/>
    </row>
    <row r="47" spans="2:33" ht="16.899999999999999" customHeight="1" x14ac:dyDescent="0.35">
      <c r="B47" s="22"/>
      <c r="AG47" s="23"/>
    </row>
    <row r="48" spans="2:33" ht="16.899999999999999" customHeight="1" x14ac:dyDescent="0.35">
      <c r="B48" s="22"/>
      <c r="E48" s="67" t="s">
        <v>238</v>
      </c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91">
        <f>MIN(M46:AF46)</f>
        <v>9</v>
      </c>
      <c r="Q48" s="91"/>
      <c r="R48" s="91"/>
      <c r="S48" s="91"/>
      <c r="AG48" s="23"/>
    </row>
    <row r="49" spans="2:33" ht="16.899999999999999" customHeight="1" x14ac:dyDescent="0.35">
      <c r="B49" s="22"/>
      <c r="AG49" s="23"/>
    </row>
    <row r="50" spans="2:33" ht="16.899999999999999" customHeight="1" x14ac:dyDescent="0.35">
      <c r="B50" s="22"/>
      <c r="C50" s="14" t="s">
        <v>257</v>
      </c>
      <c r="D50" s="14"/>
      <c r="E50" s="14" t="s">
        <v>23</v>
      </c>
      <c r="AG50" s="23"/>
    </row>
    <row r="51" spans="2:33" ht="16.899999999999999" customHeight="1" x14ac:dyDescent="0.35">
      <c r="B51" s="22"/>
      <c r="E51" s="51" t="s">
        <v>319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23"/>
    </row>
    <row r="52" spans="2:33" ht="16.899999999999999" customHeight="1" x14ac:dyDescent="0.35">
      <c r="B52" s="22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23"/>
    </row>
    <row r="53" spans="2:33" ht="16.899999999999999" customHeight="1" x14ac:dyDescent="0.35">
      <c r="B53" s="22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23"/>
    </row>
    <row r="54" spans="2:33" ht="16.899999999999999" customHeight="1" x14ac:dyDescent="0.35">
      <c r="B54" s="22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23"/>
    </row>
    <row r="55" spans="2:33" ht="16.899999999999999" customHeight="1" x14ac:dyDescent="0.35">
      <c r="B55" s="22"/>
      <c r="AG55" s="23"/>
    </row>
    <row r="56" spans="2:33" ht="16.899999999999999" customHeight="1" x14ac:dyDescent="0.35">
      <c r="B56" s="22"/>
      <c r="C56" s="14" t="s">
        <v>258</v>
      </c>
      <c r="D56" s="14"/>
      <c r="E56" s="14" t="s">
        <v>25</v>
      </c>
      <c r="F56" s="14"/>
      <c r="AG56" s="23"/>
    </row>
    <row r="57" spans="2:33" ht="16.899999999999999" customHeight="1" x14ac:dyDescent="0.35">
      <c r="B57" s="22"/>
      <c r="E57" s="67" t="s">
        <v>239</v>
      </c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91">
        <f>MIN(P24,P48)</f>
        <v>9</v>
      </c>
      <c r="Q57" s="91"/>
      <c r="R57" s="91"/>
      <c r="S57" s="91"/>
      <c r="AG57" s="23"/>
    </row>
    <row r="58" spans="2:33" ht="16.899999999999999" customHeight="1" x14ac:dyDescent="0.35">
      <c r="B58" s="22"/>
      <c r="AG58" s="23"/>
    </row>
    <row r="59" spans="2:33" ht="16.899999999999999" customHeight="1" x14ac:dyDescent="0.35">
      <c r="B59" s="22"/>
      <c r="C59" s="53" t="s">
        <v>27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 t="s">
        <v>28</v>
      </c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23"/>
    </row>
    <row r="60" spans="2:33" ht="16.899999999999999" customHeight="1" x14ac:dyDescent="0.35">
      <c r="B60" s="22"/>
      <c r="C60" s="37">
        <v>1</v>
      </c>
      <c r="D60" s="201" t="s">
        <v>301</v>
      </c>
      <c r="E60" s="51"/>
      <c r="F60" s="51"/>
      <c r="G60" s="51"/>
      <c r="H60" s="51"/>
      <c r="I60" s="51"/>
      <c r="J60" s="51"/>
      <c r="K60" s="51"/>
      <c r="L60" s="51"/>
      <c r="M60" s="51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23"/>
    </row>
    <row r="61" spans="2:33" ht="16.899999999999999" customHeight="1" x14ac:dyDescent="0.35">
      <c r="B61" s="22"/>
      <c r="C61" s="37">
        <v>2</v>
      </c>
      <c r="D61" s="202" t="s">
        <v>315</v>
      </c>
      <c r="E61" s="203"/>
      <c r="F61" s="203"/>
      <c r="G61" s="203"/>
      <c r="H61" s="203"/>
      <c r="I61" s="203"/>
      <c r="J61" s="203"/>
      <c r="K61" s="203"/>
      <c r="L61" s="203"/>
      <c r="M61" s="20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23"/>
    </row>
    <row r="62" spans="2:33" ht="16.899999999999999" customHeight="1" x14ac:dyDescent="0.35">
      <c r="B62" s="22"/>
      <c r="C62" s="37">
        <v>3</v>
      </c>
      <c r="D62" s="20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23"/>
    </row>
    <row r="63" spans="2:33" ht="16.899999999999999" customHeight="1" x14ac:dyDescent="0.35">
      <c r="B63" s="22"/>
      <c r="C63" s="37">
        <v>4</v>
      </c>
      <c r="D63" s="20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23"/>
    </row>
    <row r="64" spans="2:33" ht="16.899999999999999" customHeight="1" x14ac:dyDescent="0.35">
      <c r="B64" s="22"/>
      <c r="C64" s="37">
        <v>5</v>
      </c>
      <c r="D64" s="20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 t="s">
        <v>303</v>
      </c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23"/>
    </row>
    <row r="65" spans="2:33" ht="16.899999999999999" customHeight="1" thickBot="1" x14ac:dyDescent="0.4"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9"/>
    </row>
  </sheetData>
  <mergeCells count="175">
    <mergeCell ref="E4:F4"/>
    <mergeCell ref="H4:P4"/>
    <mergeCell ref="E5:F5"/>
    <mergeCell ref="H5:P5"/>
    <mergeCell ref="E16:H16"/>
    <mergeCell ref="E10:J10"/>
    <mergeCell ref="E11:J11"/>
    <mergeCell ref="I28:L28"/>
    <mergeCell ref="M28:Q28"/>
    <mergeCell ref="E24:O24"/>
    <mergeCell ref="P24:S24"/>
    <mergeCell ref="I17:L17"/>
    <mergeCell ref="I18:L18"/>
    <mergeCell ref="I19:L19"/>
    <mergeCell ref="I21:L21"/>
    <mergeCell ref="I20:L20"/>
    <mergeCell ref="E20:H22"/>
    <mergeCell ref="E17:H19"/>
    <mergeCell ref="O10:P10"/>
    <mergeCell ref="L12:N12"/>
    <mergeCell ref="O9:P9"/>
    <mergeCell ref="E9:J9"/>
    <mergeCell ref="E12:J12"/>
    <mergeCell ref="L9:N9"/>
    <mergeCell ref="AB31:AF31"/>
    <mergeCell ref="I22:L22"/>
    <mergeCell ref="M16:Q16"/>
    <mergeCell ref="R16:V16"/>
    <mergeCell ref="E46:L46"/>
    <mergeCell ref="M46:Q46"/>
    <mergeCell ref="R46:V46"/>
    <mergeCell ref="W46:AA46"/>
    <mergeCell ref="AB46:AF46"/>
    <mergeCell ref="I38:L38"/>
    <mergeCell ref="M38:Q38"/>
    <mergeCell ref="R38:V38"/>
    <mergeCell ref="W38:AA38"/>
    <mergeCell ref="AB38:AF38"/>
    <mergeCell ref="W42:AA42"/>
    <mergeCell ref="AB42:AF42"/>
    <mergeCell ref="M45:Q45"/>
    <mergeCell ref="R45:V45"/>
    <mergeCell ref="W45:AA45"/>
    <mergeCell ref="AB45:AF45"/>
    <mergeCell ref="E45:L45"/>
    <mergeCell ref="E41:H44"/>
    <mergeCell ref="I41:L41"/>
    <mergeCell ref="AB41:AF41"/>
    <mergeCell ref="AB33:AF33"/>
    <mergeCell ref="I30:L30"/>
    <mergeCell ref="M30:Q30"/>
    <mergeCell ref="R30:V30"/>
    <mergeCell ref="W30:AA30"/>
    <mergeCell ref="AB30:AF30"/>
    <mergeCell ref="I32:L32"/>
    <mergeCell ref="M32:Q32"/>
    <mergeCell ref="O11:P11"/>
    <mergeCell ref="O12:P12"/>
    <mergeCell ref="R18:V18"/>
    <mergeCell ref="R28:V28"/>
    <mergeCell ref="W28:AA28"/>
    <mergeCell ref="AB28:AF28"/>
    <mergeCell ref="I29:L29"/>
    <mergeCell ref="M29:Q29"/>
    <mergeCell ref="R29:V29"/>
    <mergeCell ref="W29:AA29"/>
    <mergeCell ref="AB29:AF29"/>
    <mergeCell ref="R32:V32"/>
    <mergeCell ref="W32:AA32"/>
    <mergeCell ref="AB32:AF32"/>
    <mergeCell ref="I31:L31"/>
    <mergeCell ref="M31:Q31"/>
    <mergeCell ref="AB35:AF35"/>
    <mergeCell ref="I37:L37"/>
    <mergeCell ref="M37:Q37"/>
    <mergeCell ref="R37:V37"/>
    <mergeCell ref="W37:AA37"/>
    <mergeCell ref="AB37:AF37"/>
    <mergeCell ref="I34:L34"/>
    <mergeCell ref="M34:Q34"/>
    <mergeCell ref="R34:V34"/>
    <mergeCell ref="W34:AA34"/>
    <mergeCell ref="AB34:AF34"/>
    <mergeCell ref="I36:L36"/>
    <mergeCell ref="M36:Q36"/>
    <mergeCell ref="R36:V36"/>
    <mergeCell ref="W36:AA36"/>
    <mergeCell ref="AB36:AF36"/>
    <mergeCell ref="AB44:AF44"/>
    <mergeCell ref="I42:L42"/>
    <mergeCell ref="M42:Q42"/>
    <mergeCell ref="R42:V42"/>
    <mergeCell ref="R40:V40"/>
    <mergeCell ref="W40:AA40"/>
    <mergeCell ref="AB40:AF40"/>
    <mergeCell ref="M41:Q41"/>
    <mergeCell ref="R41:V41"/>
    <mergeCell ref="W41:AA41"/>
    <mergeCell ref="I43:L43"/>
    <mergeCell ref="M43:Q43"/>
    <mergeCell ref="R43:V43"/>
    <mergeCell ref="W43:AA43"/>
    <mergeCell ref="AB43:AF43"/>
    <mergeCell ref="R59:AF59"/>
    <mergeCell ref="E48:O48"/>
    <mergeCell ref="P48:S48"/>
    <mergeCell ref="E37:H40"/>
    <mergeCell ref="I39:L39"/>
    <mergeCell ref="M39:Q39"/>
    <mergeCell ref="R39:V39"/>
    <mergeCell ref="W39:AA39"/>
    <mergeCell ref="E33:H36"/>
    <mergeCell ref="I35:L35"/>
    <mergeCell ref="M35:Q35"/>
    <mergeCell ref="R35:V35"/>
    <mergeCell ref="W35:AA35"/>
    <mergeCell ref="I33:L33"/>
    <mergeCell ref="M33:Q33"/>
    <mergeCell ref="R33:V33"/>
    <mergeCell ref="W33:AA33"/>
    <mergeCell ref="AB39:AF39"/>
    <mergeCell ref="I40:L40"/>
    <mergeCell ref="M40:Q40"/>
    <mergeCell ref="I44:L44"/>
    <mergeCell ref="M44:Q44"/>
    <mergeCell ref="R44:V44"/>
    <mergeCell ref="W44:AA44"/>
    <mergeCell ref="AB19:AF19"/>
    <mergeCell ref="W16:AA16"/>
    <mergeCell ref="E29:H32"/>
    <mergeCell ref="E28:H28"/>
    <mergeCell ref="R31:V31"/>
    <mergeCell ref="W31:AA31"/>
    <mergeCell ref="R17:V17"/>
    <mergeCell ref="W17:AA17"/>
    <mergeCell ref="D64:M64"/>
    <mergeCell ref="N64:Q64"/>
    <mergeCell ref="R64:AF64"/>
    <mergeCell ref="D60:M60"/>
    <mergeCell ref="N60:Q60"/>
    <mergeCell ref="R60:AF63"/>
    <mergeCell ref="D61:M61"/>
    <mergeCell ref="N61:Q61"/>
    <mergeCell ref="D62:M62"/>
    <mergeCell ref="N62:Q62"/>
    <mergeCell ref="D63:M63"/>
    <mergeCell ref="N63:Q63"/>
    <mergeCell ref="E51:AF54"/>
    <mergeCell ref="E57:O57"/>
    <mergeCell ref="P57:S57"/>
    <mergeCell ref="C59:Q59"/>
    <mergeCell ref="AB16:AF16"/>
    <mergeCell ref="M17:Q17"/>
    <mergeCell ref="L10:N10"/>
    <mergeCell ref="L11:N11"/>
    <mergeCell ref="AB17:AF17"/>
    <mergeCell ref="M18:Q18"/>
    <mergeCell ref="I16:L16"/>
    <mergeCell ref="M22:Q22"/>
    <mergeCell ref="R22:V22"/>
    <mergeCell ref="W22:AA22"/>
    <mergeCell ref="AB22:AF22"/>
    <mergeCell ref="M20:Q20"/>
    <mergeCell ref="R20:V20"/>
    <mergeCell ref="W20:AA20"/>
    <mergeCell ref="AB20:AF20"/>
    <mergeCell ref="M21:Q21"/>
    <mergeCell ref="R21:V21"/>
    <mergeCell ref="W21:AA21"/>
    <mergeCell ref="AB21:AF21"/>
    <mergeCell ref="W18:AA18"/>
    <mergeCell ref="AB18:AF18"/>
    <mergeCell ref="M19:Q19"/>
    <mergeCell ref="R19:V19"/>
    <mergeCell ref="W19:AA19"/>
  </mergeCells>
  <pageMargins left="0.51181102362204722" right="0.70866141732283472" top="0.35433070866141736" bottom="0.35433070866141736" header="0.31496062992125984" footer="0.31496062992125984"/>
  <pageSetup paperSize="9" scale="67" orientation="portrait" r:id="rId1"/>
  <ignoredErrors>
    <ignoredError sqref="R2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G99"/>
  <sheetViews>
    <sheetView tabSelected="1" view="pageBreakPreview" topLeftCell="A93" zoomScale="62" zoomScaleNormal="115" zoomScaleSheetLayoutView="100" workbookViewId="0">
      <selection activeCell="U53" sqref="Q50:W53"/>
    </sheetView>
  </sheetViews>
  <sheetFormatPr defaultColWidth="8.81640625" defaultRowHeight="16.899999999999999" customHeight="1" x14ac:dyDescent="0.35"/>
  <cols>
    <col min="1" max="1" width="4.1796875" style="1" customWidth="1"/>
    <col min="2" max="103" width="3.7265625" style="1" customWidth="1"/>
    <col min="104" max="16384" width="8.81640625" style="1"/>
  </cols>
  <sheetData>
    <row r="1" spans="2:33" ht="16.899999999999999" customHeight="1" thickBot="1" x14ac:dyDescent="0.4"/>
    <row r="2" spans="2:33" ht="16.899999999999999" customHeigh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16.899999999999999" customHeight="1" x14ac:dyDescent="0.35">
      <c r="B3" s="22"/>
      <c r="C3" s="5"/>
      <c r="D3" s="6"/>
      <c r="E3" s="38" t="s">
        <v>10</v>
      </c>
      <c r="F3" s="38"/>
      <c r="G3" s="3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3"/>
    </row>
    <row r="4" spans="2:33" ht="16.899999999999999" customHeight="1" x14ac:dyDescent="0.35">
      <c r="B4" s="22"/>
      <c r="C4" s="8"/>
      <c r="E4" s="104" t="s">
        <v>0</v>
      </c>
      <c r="F4" s="104"/>
      <c r="G4" s="14" t="s">
        <v>11</v>
      </c>
      <c r="H4" s="62" t="s">
        <v>292</v>
      </c>
      <c r="I4" s="62"/>
      <c r="J4" s="62"/>
      <c r="K4" s="62"/>
      <c r="L4" s="62"/>
      <c r="M4" s="62"/>
      <c r="N4" s="62"/>
      <c r="O4" s="62"/>
      <c r="P4" s="62"/>
      <c r="AF4" s="10"/>
      <c r="AG4" s="23"/>
    </row>
    <row r="5" spans="2:33" ht="16.899999999999999" customHeight="1" x14ac:dyDescent="0.35">
      <c r="B5" s="22"/>
      <c r="C5" s="11"/>
      <c r="D5" s="12"/>
      <c r="E5" s="105" t="s">
        <v>1</v>
      </c>
      <c r="F5" s="105"/>
      <c r="G5" s="40" t="s">
        <v>11</v>
      </c>
      <c r="H5" s="63" t="s">
        <v>292</v>
      </c>
      <c r="I5" s="63"/>
      <c r="J5" s="63"/>
      <c r="K5" s="63"/>
      <c r="L5" s="63"/>
      <c r="M5" s="63"/>
      <c r="N5" s="63"/>
      <c r="O5" s="63"/>
      <c r="P5" s="63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3"/>
    </row>
    <row r="6" spans="2:33" ht="16.899999999999999" customHeight="1" x14ac:dyDescent="0.35">
      <c r="B6" s="22"/>
      <c r="AG6" s="23"/>
    </row>
    <row r="7" spans="2:33" ht="16.899999999999999" customHeight="1" x14ac:dyDescent="0.35">
      <c r="B7" s="22"/>
      <c r="C7" s="14" t="s">
        <v>193</v>
      </c>
      <c r="D7" s="14"/>
      <c r="E7" s="14" t="s">
        <v>142</v>
      </c>
      <c r="AG7" s="24"/>
    </row>
    <row r="8" spans="2:33" ht="16.899999999999999" customHeight="1" x14ac:dyDescent="0.35">
      <c r="B8" s="22"/>
      <c r="AG8" s="23"/>
    </row>
    <row r="9" spans="2:33" ht="37.15" customHeight="1" x14ac:dyDescent="0.35">
      <c r="B9" s="22"/>
      <c r="E9" s="230" t="s">
        <v>133</v>
      </c>
      <c r="F9" s="230"/>
      <c r="G9" s="230"/>
      <c r="H9" s="172" t="s">
        <v>145</v>
      </c>
      <c r="I9" s="172"/>
      <c r="J9" s="172"/>
      <c r="K9" s="172"/>
      <c r="L9" s="172"/>
      <c r="M9" s="230" t="s">
        <v>136</v>
      </c>
      <c r="N9" s="230"/>
      <c r="O9" s="230"/>
      <c r="P9" s="231"/>
      <c r="Q9" s="173" t="s">
        <v>51</v>
      </c>
      <c r="R9" s="173"/>
      <c r="S9" s="173"/>
      <c r="T9" s="173"/>
      <c r="U9" s="124" t="s">
        <v>8</v>
      </c>
      <c r="V9" s="235"/>
      <c r="W9" s="236"/>
      <c r="X9" s="173" t="s">
        <v>6</v>
      </c>
      <c r="Y9" s="173"/>
      <c r="Z9" s="173"/>
      <c r="AA9" s="173"/>
      <c r="AB9" s="173"/>
      <c r="AC9" s="173"/>
      <c r="AG9" s="23"/>
    </row>
    <row r="10" spans="2:33" ht="16.899999999999999" customHeight="1" x14ac:dyDescent="0.35">
      <c r="B10" s="22"/>
      <c r="E10" s="148" t="s">
        <v>134</v>
      </c>
      <c r="F10" s="148"/>
      <c r="G10" s="148"/>
      <c r="H10" s="148" t="s">
        <v>30</v>
      </c>
      <c r="I10" s="148"/>
      <c r="J10" s="148"/>
      <c r="K10" s="148"/>
      <c r="L10" s="148"/>
      <c r="M10" s="148" t="s">
        <v>137</v>
      </c>
      <c r="N10" s="148"/>
      <c r="O10" s="148"/>
      <c r="P10" s="228"/>
      <c r="Q10" s="202" t="s">
        <v>137</v>
      </c>
      <c r="R10" s="203"/>
      <c r="S10" s="203"/>
      <c r="T10" s="201"/>
      <c r="U10" s="91">
        <f>IF(ISBLANK(Q10),9,IF(Q10=M10,9,1))</f>
        <v>9</v>
      </c>
      <c r="V10" s="91"/>
      <c r="W10" s="91"/>
      <c r="X10" s="229" t="s">
        <v>295</v>
      </c>
      <c r="Y10" s="229"/>
      <c r="Z10" s="229"/>
      <c r="AA10" s="229"/>
      <c r="AB10" s="229"/>
      <c r="AC10" s="229"/>
      <c r="AG10" s="23"/>
    </row>
    <row r="11" spans="2:33" ht="16.899999999999999" customHeight="1" x14ac:dyDescent="0.35">
      <c r="B11" s="22"/>
      <c r="E11" s="148" t="s">
        <v>135</v>
      </c>
      <c r="F11" s="148"/>
      <c r="G11" s="148"/>
      <c r="H11" s="148" t="s">
        <v>30</v>
      </c>
      <c r="I11" s="148"/>
      <c r="J11" s="148"/>
      <c r="K11" s="148"/>
      <c r="L11" s="148"/>
      <c r="M11" s="148" t="s">
        <v>138</v>
      </c>
      <c r="N11" s="148"/>
      <c r="O11" s="148"/>
      <c r="P11" s="228"/>
      <c r="Q11" s="202" t="s">
        <v>138</v>
      </c>
      <c r="R11" s="203"/>
      <c r="S11" s="203"/>
      <c r="T11" s="201"/>
      <c r="U11" s="91">
        <f>IF(ISBLANK(Q11),9,IF(Q11=M11,9,1))</f>
        <v>9</v>
      </c>
      <c r="V11" s="91"/>
      <c r="W11" s="91"/>
      <c r="X11" s="229" t="s">
        <v>296</v>
      </c>
      <c r="Y11" s="229"/>
      <c r="Z11" s="229"/>
      <c r="AA11" s="229"/>
      <c r="AB11" s="229"/>
      <c r="AC11" s="229"/>
      <c r="AG11" s="23"/>
    </row>
    <row r="12" spans="2:33" ht="16.899999999999999" customHeight="1" x14ac:dyDescent="0.35">
      <c r="B12" s="22"/>
      <c r="E12" s="148" t="s">
        <v>134</v>
      </c>
      <c r="F12" s="148"/>
      <c r="G12" s="148"/>
      <c r="H12" s="148" t="s">
        <v>31</v>
      </c>
      <c r="I12" s="148"/>
      <c r="J12" s="148"/>
      <c r="K12" s="148"/>
      <c r="L12" s="148"/>
      <c r="M12" s="148" t="s">
        <v>137</v>
      </c>
      <c r="N12" s="148"/>
      <c r="O12" s="148"/>
      <c r="P12" s="228"/>
      <c r="Q12" s="202" t="s">
        <v>137</v>
      </c>
      <c r="R12" s="203"/>
      <c r="S12" s="203"/>
      <c r="T12" s="201"/>
      <c r="U12" s="91">
        <f t="shared" ref="U12:U19" si="0">IF(ISBLANK(Q12),9,IF(Q12=M12,9,1))</f>
        <v>9</v>
      </c>
      <c r="V12" s="91"/>
      <c r="W12" s="91"/>
      <c r="X12" s="229" t="s">
        <v>295</v>
      </c>
      <c r="Y12" s="229"/>
      <c r="Z12" s="229"/>
      <c r="AA12" s="229"/>
      <c r="AB12" s="229"/>
      <c r="AC12" s="229"/>
      <c r="AG12" s="23"/>
    </row>
    <row r="13" spans="2:33" ht="16.899999999999999" customHeight="1" x14ac:dyDescent="0.35">
      <c r="B13" s="22"/>
      <c r="E13" s="148" t="s">
        <v>135</v>
      </c>
      <c r="F13" s="148"/>
      <c r="G13" s="148"/>
      <c r="H13" s="148" t="s">
        <v>31</v>
      </c>
      <c r="I13" s="148"/>
      <c r="J13" s="148"/>
      <c r="K13" s="148"/>
      <c r="L13" s="148"/>
      <c r="M13" s="148" t="s">
        <v>139</v>
      </c>
      <c r="N13" s="148"/>
      <c r="O13" s="148"/>
      <c r="P13" s="228"/>
      <c r="Q13" s="202" t="s">
        <v>139</v>
      </c>
      <c r="R13" s="203"/>
      <c r="S13" s="203"/>
      <c r="T13" s="201"/>
      <c r="U13" s="91">
        <f t="shared" si="0"/>
        <v>9</v>
      </c>
      <c r="V13" s="91"/>
      <c r="W13" s="91"/>
      <c r="X13" s="229" t="s">
        <v>297</v>
      </c>
      <c r="Y13" s="229"/>
      <c r="Z13" s="229"/>
      <c r="AA13" s="229"/>
      <c r="AB13" s="229"/>
      <c r="AC13" s="229"/>
      <c r="AG13" s="23"/>
    </row>
    <row r="14" spans="2:33" ht="16.899999999999999" customHeight="1" x14ac:dyDescent="0.35">
      <c r="B14" s="22"/>
      <c r="E14" s="148" t="s">
        <v>134</v>
      </c>
      <c r="F14" s="148"/>
      <c r="G14" s="148"/>
      <c r="H14" s="148" t="s">
        <v>279</v>
      </c>
      <c r="I14" s="148"/>
      <c r="J14" s="148"/>
      <c r="K14" s="148"/>
      <c r="L14" s="148"/>
      <c r="M14" s="148" t="s">
        <v>137</v>
      </c>
      <c r="N14" s="148"/>
      <c r="O14" s="148"/>
      <c r="P14" s="228"/>
      <c r="Q14" s="202" t="s">
        <v>137</v>
      </c>
      <c r="R14" s="203"/>
      <c r="S14" s="203"/>
      <c r="T14" s="201"/>
      <c r="U14" s="91">
        <f t="shared" si="0"/>
        <v>9</v>
      </c>
      <c r="V14" s="91"/>
      <c r="W14" s="91"/>
      <c r="X14" s="229" t="s">
        <v>295</v>
      </c>
      <c r="Y14" s="229"/>
      <c r="Z14" s="229"/>
      <c r="AA14" s="229"/>
      <c r="AB14" s="229"/>
      <c r="AC14" s="229"/>
      <c r="AG14" s="23"/>
    </row>
    <row r="15" spans="2:33" ht="16.899999999999999" customHeight="1" x14ac:dyDescent="0.35">
      <c r="B15" s="22"/>
      <c r="E15" s="148" t="s">
        <v>135</v>
      </c>
      <c r="F15" s="148"/>
      <c r="G15" s="148"/>
      <c r="H15" s="148" t="s">
        <v>279</v>
      </c>
      <c r="I15" s="148"/>
      <c r="J15" s="148"/>
      <c r="K15" s="148"/>
      <c r="L15" s="148"/>
      <c r="M15" s="148" t="s">
        <v>140</v>
      </c>
      <c r="N15" s="148"/>
      <c r="O15" s="148"/>
      <c r="P15" s="228"/>
      <c r="Q15" s="202" t="s">
        <v>140</v>
      </c>
      <c r="R15" s="203"/>
      <c r="S15" s="203"/>
      <c r="T15" s="201"/>
      <c r="U15" s="91">
        <f t="shared" si="0"/>
        <v>9</v>
      </c>
      <c r="V15" s="91"/>
      <c r="W15" s="91"/>
      <c r="X15" s="229" t="s">
        <v>298</v>
      </c>
      <c r="Y15" s="229"/>
      <c r="Z15" s="229"/>
      <c r="AA15" s="229"/>
      <c r="AB15" s="229"/>
      <c r="AC15" s="229"/>
      <c r="AG15" s="23"/>
    </row>
    <row r="16" spans="2:33" ht="16.899999999999999" customHeight="1" x14ac:dyDescent="0.35">
      <c r="B16" s="22"/>
      <c r="E16" s="148" t="s">
        <v>134</v>
      </c>
      <c r="F16" s="148"/>
      <c r="G16" s="148"/>
      <c r="H16" s="148" t="s">
        <v>283</v>
      </c>
      <c r="I16" s="148"/>
      <c r="J16" s="148"/>
      <c r="K16" s="148"/>
      <c r="L16" s="148"/>
      <c r="M16" s="148" t="s">
        <v>137</v>
      </c>
      <c r="N16" s="148"/>
      <c r="O16" s="148"/>
      <c r="P16" s="228"/>
      <c r="Q16" s="202" t="s">
        <v>137</v>
      </c>
      <c r="R16" s="203"/>
      <c r="S16" s="203"/>
      <c r="T16" s="201"/>
      <c r="U16" s="91">
        <f t="shared" ref="U16:U17" si="1">IF(ISBLANK(Q16),9,IF(Q16=M16,9,1))</f>
        <v>9</v>
      </c>
      <c r="V16" s="91"/>
      <c r="W16" s="91"/>
      <c r="X16" s="229"/>
      <c r="Y16" s="229"/>
      <c r="Z16" s="229"/>
      <c r="AA16" s="229"/>
      <c r="AB16" s="229"/>
      <c r="AC16" s="229"/>
      <c r="AG16" s="23"/>
    </row>
    <row r="17" spans="2:33" ht="16.899999999999999" customHeight="1" x14ac:dyDescent="0.35">
      <c r="B17" s="22"/>
      <c r="E17" s="148" t="s">
        <v>135</v>
      </c>
      <c r="F17" s="148"/>
      <c r="G17" s="148"/>
      <c r="H17" s="148" t="s">
        <v>283</v>
      </c>
      <c r="I17" s="148"/>
      <c r="J17" s="148"/>
      <c r="K17" s="148"/>
      <c r="L17" s="148"/>
      <c r="M17" s="148" t="s">
        <v>282</v>
      </c>
      <c r="N17" s="148"/>
      <c r="O17" s="148"/>
      <c r="P17" s="228"/>
      <c r="Q17" s="202" t="s">
        <v>282</v>
      </c>
      <c r="R17" s="203"/>
      <c r="S17" s="203"/>
      <c r="T17" s="201"/>
      <c r="U17" s="91">
        <f t="shared" si="1"/>
        <v>9</v>
      </c>
      <c r="V17" s="91"/>
      <c r="W17" s="91"/>
      <c r="X17" s="229"/>
      <c r="Y17" s="229"/>
      <c r="Z17" s="229"/>
      <c r="AA17" s="229"/>
      <c r="AB17" s="229"/>
      <c r="AC17" s="229"/>
      <c r="AG17" s="23"/>
    </row>
    <row r="18" spans="2:33" ht="16.899999999999999" customHeight="1" x14ac:dyDescent="0.35">
      <c r="B18" s="22"/>
      <c r="E18" s="148" t="s">
        <v>134</v>
      </c>
      <c r="F18" s="148"/>
      <c r="G18" s="148"/>
      <c r="H18" s="148" t="s">
        <v>285</v>
      </c>
      <c r="I18" s="148"/>
      <c r="J18" s="148"/>
      <c r="K18" s="148"/>
      <c r="L18" s="148"/>
      <c r="M18" s="148" t="s">
        <v>137</v>
      </c>
      <c r="N18" s="148"/>
      <c r="O18" s="148"/>
      <c r="P18" s="228"/>
      <c r="Q18" s="202"/>
      <c r="R18" s="203"/>
      <c r="S18" s="203"/>
      <c r="T18" s="201"/>
      <c r="U18" s="91">
        <f t="shared" si="0"/>
        <v>9</v>
      </c>
      <c r="V18" s="91"/>
      <c r="W18" s="91"/>
      <c r="X18" s="229"/>
      <c r="Y18" s="229"/>
      <c r="Z18" s="229"/>
      <c r="AA18" s="229"/>
      <c r="AB18" s="229"/>
      <c r="AC18" s="229"/>
      <c r="AG18" s="23"/>
    </row>
    <row r="19" spans="2:33" ht="16.899999999999999" customHeight="1" x14ac:dyDescent="0.35">
      <c r="B19" s="22"/>
      <c r="E19" s="148" t="s">
        <v>135</v>
      </c>
      <c r="F19" s="148"/>
      <c r="G19" s="148"/>
      <c r="H19" s="148" t="s">
        <v>285</v>
      </c>
      <c r="I19" s="148"/>
      <c r="J19" s="148"/>
      <c r="K19" s="148"/>
      <c r="L19" s="148"/>
      <c r="M19" s="148" t="s">
        <v>286</v>
      </c>
      <c r="N19" s="148"/>
      <c r="O19" s="148"/>
      <c r="P19" s="228"/>
      <c r="Q19" s="202"/>
      <c r="R19" s="203"/>
      <c r="S19" s="203"/>
      <c r="T19" s="201"/>
      <c r="U19" s="91">
        <f t="shared" si="0"/>
        <v>9</v>
      </c>
      <c r="V19" s="91"/>
      <c r="W19" s="91"/>
      <c r="X19" s="229"/>
      <c r="Y19" s="229"/>
      <c r="Z19" s="229"/>
      <c r="AA19" s="229"/>
      <c r="AB19" s="229"/>
      <c r="AC19" s="229"/>
      <c r="AG19" s="23"/>
    </row>
    <row r="20" spans="2:33" ht="16.899999999999999" customHeight="1" x14ac:dyDescent="0.35">
      <c r="B20" s="22"/>
      <c r="E20" s="48" t="s">
        <v>280</v>
      </c>
      <c r="F20" s="49" t="s">
        <v>281</v>
      </c>
      <c r="AG20" s="23"/>
    </row>
    <row r="21" spans="2:33" ht="16.899999999999999" customHeight="1" x14ac:dyDescent="0.35">
      <c r="B21" s="22"/>
      <c r="E21" s="48"/>
      <c r="AG21" s="23"/>
    </row>
    <row r="22" spans="2:33" ht="16.899999999999999" customHeight="1" x14ac:dyDescent="0.35">
      <c r="B22" s="22"/>
      <c r="E22" s="67" t="s">
        <v>26</v>
      </c>
      <c r="F22" s="67"/>
      <c r="G22" s="67"/>
      <c r="H22" s="67"/>
      <c r="I22" s="67"/>
      <c r="J22" s="67"/>
      <c r="K22" s="67"/>
      <c r="L22" s="67"/>
      <c r="M22" s="67"/>
      <c r="N22" s="67"/>
      <c r="O22" s="124"/>
      <c r="P22" s="91">
        <f>MIN(U10:W19)</f>
        <v>9</v>
      </c>
      <c r="Q22" s="91"/>
      <c r="R22" s="91"/>
      <c r="S22" s="91"/>
      <c r="AG22" s="23"/>
    </row>
    <row r="23" spans="2:33" ht="16.899999999999999" customHeight="1" x14ac:dyDescent="0.35">
      <c r="B23" s="22"/>
      <c r="AG23" s="23"/>
    </row>
    <row r="24" spans="2:33" ht="16.899999999999999" customHeight="1" x14ac:dyDescent="0.35">
      <c r="B24" s="22"/>
      <c r="C24" s="14" t="s">
        <v>194</v>
      </c>
      <c r="D24" s="14"/>
      <c r="E24" s="14" t="s">
        <v>241</v>
      </c>
      <c r="AG24" s="23"/>
    </row>
    <row r="25" spans="2:33" ht="16.899999999999999" customHeight="1" x14ac:dyDescent="0.35">
      <c r="B25" s="22"/>
      <c r="C25" s="14"/>
      <c r="D25" s="14"/>
      <c r="E25" s="14"/>
      <c r="AG25" s="23"/>
    </row>
    <row r="26" spans="2:33" ht="16.899999999999999" customHeight="1" x14ac:dyDescent="0.35">
      <c r="B26" s="22"/>
      <c r="C26" s="14"/>
      <c r="D26" s="14"/>
      <c r="E26" s="53" t="s">
        <v>156</v>
      </c>
      <c r="F26" s="53"/>
      <c r="G26" s="53"/>
      <c r="H26" s="53"/>
      <c r="I26" s="53"/>
      <c r="J26" s="53"/>
      <c r="K26" s="53"/>
      <c r="L26" s="53"/>
      <c r="M26" s="53"/>
      <c r="N26" s="53"/>
      <c r="O26" s="233"/>
      <c r="P26" s="229" t="s">
        <v>197</v>
      </c>
      <c r="Q26" s="229"/>
      <c r="R26" s="229"/>
      <c r="S26" s="229"/>
      <c r="U26" s="50" t="str">
        <f>IF(P26="OFF (BY DESIGN)","LAKUKAN PENGUJIAN HANYA PADA STATUS AR OFF","LAKUKAN PENGUJIAN STATUS AR ON &amp; OFF")</f>
        <v>LAKUKAN PENGUJIAN STATUS AR ON &amp; OFF</v>
      </c>
      <c r="AG26" s="23"/>
    </row>
    <row r="27" spans="2:33" ht="16.899999999999999" customHeight="1" x14ac:dyDescent="0.35">
      <c r="B27" s="22"/>
      <c r="AG27" s="23"/>
    </row>
    <row r="28" spans="2:33" ht="37.15" customHeight="1" x14ac:dyDescent="0.35">
      <c r="B28" s="22"/>
      <c r="E28" s="172" t="s">
        <v>174</v>
      </c>
      <c r="F28" s="172"/>
      <c r="G28" s="172"/>
      <c r="H28" s="172"/>
      <c r="I28" s="172" t="s">
        <v>146</v>
      </c>
      <c r="J28" s="172"/>
      <c r="K28" s="172"/>
      <c r="L28" s="172"/>
      <c r="M28" s="172"/>
      <c r="N28" s="172" t="s">
        <v>143</v>
      </c>
      <c r="O28" s="172"/>
      <c r="P28" s="172"/>
      <c r="Q28" s="172" t="s">
        <v>136</v>
      </c>
      <c r="R28" s="172"/>
      <c r="S28" s="172"/>
      <c r="T28" s="234"/>
      <c r="U28" s="226" t="s">
        <v>51</v>
      </c>
      <c r="V28" s="226"/>
      <c r="W28" s="226"/>
      <c r="X28" s="227" t="s">
        <v>8</v>
      </c>
      <c r="Y28" s="227"/>
      <c r="Z28" s="227"/>
      <c r="AA28" s="226" t="s">
        <v>182</v>
      </c>
      <c r="AB28" s="226"/>
      <c r="AC28" s="226"/>
      <c r="AD28" s="226"/>
      <c r="AE28" s="226"/>
      <c r="AF28" s="226"/>
      <c r="AG28" s="23"/>
    </row>
    <row r="29" spans="2:33" ht="37.15" customHeight="1" x14ac:dyDescent="0.35">
      <c r="B29" s="22"/>
      <c r="E29" s="76" t="s">
        <v>144</v>
      </c>
      <c r="F29" s="76"/>
      <c r="G29" s="76"/>
      <c r="H29" s="76"/>
      <c r="I29" s="76" t="s">
        <v>64</v>
      </c>
      <c r="J29" s="76"/>
      <c r="K29" s="76"/>
      <c r="L29" s="76"/>
      <c r="M29" s="76"/>
      <c r="N29" s="76" t="s">
        <v>147</v>
      </c>
      <c r="O29" s="76"/>
      <c r="P29" s="76"/>
      <c r="Q29" s="76" t="s">
        <v>199</v>
      </c>
      <c r="R29" s="76"/>
      <c r="S29" s="76"/>
      <c r="T29" s="213"/>
      <c r="U29" s="80" t="s">
        <v>199</v>
      </c>
      <c r="V29" s="80"/>
      <c r="W29" s="80"/>
      <c r="X29" s="125">
        <f>IF(ISBLANK(U29),9,IF(U29=Q29,9,1))</f>
        <v>9</v>
      </c>
      <c r="Y29" s="125"/>
      <c r="Z29" s="125"/>
      <c r="AA29" s="80"/>
      <c r="AB29" s="80"/>
      <c r="AC29" s="80"/>
      <c r="AD29" s="80"/>
      <c r="AE29" s="80"/>
      <c r="AF29" s="80"/>
      <c r="AG29" s="23"/>
    </row>
    <row r="30" spans="2:33" ht="37.15" customHeight="1" x14ac:dyDescent="0.35">
      <c r="B30" s="22"/>
      <c r="E30" s="76" t="s">
        <v>151</v>
      </c>
      <c r="F30" s="76"/>
      <c r="G30" s="76"/>
      <c r="H30" s="76"/>
      <c r="I30" s="76" t="s">
        <v>65</v>
      </c>
      <c r="J30" s="76"/>
      <c r="K30" s="76"/>
      <c r="L30" s="76"/>
      <c r="M30" s="76"/>
      <c r="N30" s="76" t="s">
        <v>147</v>
      </c>
      <c r="O30" s="76"/>
      <c r="P30" s="76"/>
      <c r="Q30" s="76" t="s">
        <v>200</v>
      </c>
      <c r="R30" s="76"/>
      <c r="S30" s="76"/>
      <c r="T30" s="213"/>
      <c r="U30" s="80" t="s">
        <v>200</v>
      </c>
      <c r="V30" s="224"/>
      <c r="W30" s="225"/>
      <c r="X30" s="125">
        <f t="shared" ref="X30:X72" si="2">IF(ISBLANK(U30),9,IF(U30=Q30,9,1))</f>
        <v>9</v>
      </c>
      <c r="Y30" s="125"/>
      <c r="Z30" s="125"/>
      <c r="AA30" s="80"/>
      <c r="AB30" s="80"/>
      <c r="AC30" s="80"/>
      <c r="AD30" s="80"/>
      <c r="AE30" s="80"/>
      <c r="AF30" s="80"/>
      <c r="AG30" s="23"/>
    </row>
    <row r="31" spans="2:33" ht="37.15" customHeight="1" x14ac:dyDescent="0.35">
      <c r="B31" s="22"/>
      <c r="E31" s="76" t="s">
        <v>151</v>
      </c>
      <c r="F31" s="76"/>
      <c r="G31" s="76"/>
      <c r="H31" s="76"/>
      <c r="I31" s="76" t="s">
        <v>66</v>
      </c>
      <c r="J31" s="76"/>
      <c r="K31" s="76"/>
      <c r="L31" s="76"/>
      <c r="M31" s="76"/>
      <c r="N31" s="76" t="s">
        <v>147</v>
      </c>
      <c r="O31" s="76"/>
      <c r="P31" s="76"/>
      <c r="Q31" s="76" t="s">
        <v>201</v>
      </c>
      <c r="R31" s="76"/>
      <c r="S31" s="76"/>
      <c r="T31" s="213"/>
      <c r="U31" s="223" t="s">
        <v>201</v>
      </c>
      <c r="V31" s="224"/>
      <c r="W31" s="225"/>
      <c r="X31" s="125">
        <f t="shared" si="2"/>
        <v>9</v>
      </c>
      <c r="Y31" s="125"/>
      <c r="Z31" s="125"/>
      <c r="AA31" s="80"/>
      <c r="AB31" s="80"/>
      <c r="AC31" s="80"/>
      <c r="AD31" s="80"/>
      <c r="AE31" s="80"/>
      <c r="AF31" s="80"/>
      <c r="AG31" s="23"/>
    </row>
    <row r="32" spans="2:33" ht="37.15" customHeight="1" x14ac:dyDescent="0.35">
      <c r="B32" s="22"/>
      <c r="E32" s="76" t="s">
        <v>151</v>
      </c>
      <c r="F32" s="76"/>
      <c r="G32" s="76"/>
      <c r="H32" s="76"/>
      <c r="I32" s="76" t="s">
        <v>64</v>
      </c>
      <c r="J32" s="76"/>
      <c r="K32" s="76"/>
      <c r="L32" s="76"/>
      <c r="M32" s="76"/>
      <c r="N32" s="76" t="s">
        <v>150</v>
      </c>
      <c r="O32" s="76"/>
      <c r="P32" s="76"/>
      <c r="Q32" s="76" t="s">
        <v>198</v>
      </c>
      <c r="R32" s="76"/>
      <c r="S32" s="76"/>
      <c r="T32" s="213"/>
      <c r="U32" s="223" t="s">
        <v>198</v>
      </c>
      <c r="V32" s="224"/>
      <c r="W32" s="225"/>
      <c r="X32" s="125">
        <f t="shared" si="2"/>
        <v>9</v>
      </c>
      <c r="Y32" s="125"/>
      <c r="Z32" s="125"/>
      <c r="AA32" s="80"/>
      <c r="AB32" s="80"/>
      <c r="AC32" s="80"/>
      <c r="AD32" s="80"/>
      <c r="AE32" s="80"/>
      <c r="AF32" s="80"/>
      <c r="AG32" s="23"/>
    </row>
    <row r="33" spans="2:33" ht="37.15" customHeight="1" x14ac:dyDescent="0.35">
      <c r="B33" s="22"/>
      <c r="E33" s="76" t="s">
        <v>151</v>
      </c>
      <c r="F33" s="76"/>
      <c r="G33" s="76"/>
      <c r="H33" s="76"/>
      <c r="I33" s="76" t="s">
        <v>65</v>
      </c>
      <c r="J33" s="76"/>
      <c r="K33" s="76"/>
      <c r="L33" s="76"/>
      <c r="M33" s="76"/>
      <c r="N33" s="76" t="s">
        <v>150</v>
      </c>
      <c r="O33" s="76"/>
      <c r="P33" s="76"/>
      <c r="Q33" s="76" t="s">
        <v>198</v>
      </c>
      <c r="R33" s="76"/>
      <c r="S33" s="76"/>
      <c r="T33" s="213"/>
      <c r="U33" s="223" t="s">
        <v>198</v>
      </c>
      <c r="V33" s="224"/>
      <c r="W33" s="225"/>
      <c r="X33" s="125">
        <f t="shared" si="2"/>
        <v>9</v>
      </c>
      <c r="Y33" s="125"/>
      <c r="Z33" s="125"/>
      <c r="AA33" s="80"/>
      <c r="AB33" s="80"/>
      <c r="AC33" s="80"/>
      <c r="AD33" s="80"/>
      <c r="AE33" s="80"/>
      <c r="AF33" s="80"/>
      <c r="AG33" s="23"/>
    </row>
    <row r="34" spans="2:33" ht="37.15" customHeight="1" x14ac:dyDescent="0.35">
      <c r="B34" s="22"/>
      <c r="E34" s="76" t="s">
        <v>151</v>
      </c>
      <c r="F34" s="76"/>
      <c r="G34" s="76"/>
      <c r="H34" s="76"/>
      <c r="I34" s="76" t="s">
        <v>66</v>
      </c>
      <c r="J34" s="76"/>
      <c r="K34" s="76"/>
      <c r="L34" s="76"/>
      <c r="M34" s="76"/>
      <c r="N34" s="76" t="s">
        <v>150</v>
      </c>
      <c r="O34" s="76"/>
      <c r="P34" s="76"/>
      <c r="Q34" s="76" t="s">
        <v>198</v>
      </c>
      <c r="R34" s="76"/>
      <c r="S34" s="76"/>
      <c r="T34" s="213"/>
      <c r="U34" s="223" t="s">
        <v>198</v>
      </c>
      <c r="V34" s="224"/>
      <c r="W34" s="225"/>
      <c r="X34" s="125">
        <f t="shared" si="2"/>
        <v>9</v>
      </c>
      <c r="Y34" s="125"/>
      <c r="Z34" s="125"/>
      <c r="AA34" s="80"/>
      <c r="AB34" s="80"/>
      <c r="AC34" s="80"/>
      <c r="AD34" s="80"/>
      <c r="AE34" s="80"/>
      <c r="AF34" s="80"/>
      <c r="AG34" s="23"/>
    </row>
    <row r="35" spans="2:33" ht="37.15" customHeight="1" x14ac:dyDescent="0.35">
      <c r="B35" s="22"/>
      <c r="E35" s="76" t="s">
        <v>151</v>
      </c>
      <c r="F35" s="76"/>
      <c r="G35" s="76"/>
      <c r="H35" s="76"/>
      <c r="I35" s="76" t="s">
        <v>148</v>
      </c>
      <c r="J35" s="76"/>
      <c r="K35" s="76"/>
      <c r="L35" s="76"/>
      <c r="M35" s="76"/>
      <c r="N35" s="76" t="s">
        <v>147</v>
      </c>
      <c r="O35" s="76"/>
      <c r="P35" s="76"/>
      <c r="Q35" s="76" t="str">
        <f>IF(P26="STPAR","Trip 3 Fasa &amp; Reclose","Trip 3 Fasa")</f>
        <v>Trip 3 Fasa &amp; Reclose</v>
      </c>
      <c r="R35" s="76"/>
      <c r="S35" s="76"/>
      <c r="T35" s="213"/>
      <c r="U35" s="223" t="s">
        <v>207</v>
      </c>
      <c r="V35" s="224"/>
      <c r="W35" s="225"/>
      <c r="X35" s="125">
        <f t="shared" si="2"/>
        <v>9</v>
      </c>
      <c r="Y35" s="125"/>
      <c r="Z35" s="125"/>
      <c r="AA35" s="80"/>
      <c r="AB35" s="80"/>
      <c r="AC35" s="80"/>
      <c r="AD35" s="80"/>
      <c r="AE35" s="80"/>
      <c r="AF35" s="80"/>
      <c r="AG35" s="23"/>
    </row>
    <row r="36" spans="2:33" ht="37.15" customHeight="1" x14ac:dyDescent="0.35">
      <c r="B36" s="22"/>
      <c r="E36" s="76" t="s">
        <v>151</v>
      </c>
      <c r="F36" s="76"/>
      <c r="G36" s="76"/>
      <c r="H36" s="76"/>
      <c r="I36" s="76" t="s">
        <v>148</v>
      </c>
      <c r="J36" s="76"/>
      <c r="K36" s="76"/>
      <c r="L36" s="76"/>
      <c r="M36" s="76"/>
      <c r="N36" s="76" t="s">
        <v>150</v>
      </c>
      <c r="O36" s="76"/>
      <c r="P36" s="76"/>
      <c r="Q36" s="76" t="s">
        <v>198</v>
      </c>
      <c r="R36" s="76"/>
      <c r="S36" s="76"/>
      <c r="T36" s="213"/>
      <c r="U36" s="223" t="s">
        <v>198</v>
      </c>
      <c r="V36" s="224"/>
      <c r="W36" s="225"/>
      <c r="X36" s="125">
        <f t="shared" si="2"/>
        <v>9</v>
      </c>
      <c r="Y36" s="125"/>
      <c r="Z36" s="125"/>
      <c r="AA36" s="80"/>
      <c r="AB36" s="80"/>
      <c r="AC36" s="80"/>
      <c r="AD36" s="80"/>
      <c r="AE36" s="80"/>
      <c r="AF36" s="80"/>
      <c r="AG36" s="23"/>
    </row>
    <row r="37" spans="2:33" ht="37.15" customHeight="1" x14ac:dyDescent="0.35">
      <c r="B37" s="22"/>
      <c r="E37" s="76" t="s">
        <v>151</v>
      </c>
      <c r="F37" s="76"/>
      <c r="G37" s="76"/>
      <c r="H37" s="76"/>
      <c r="I37" s="76" t="s">
        <v>149</v>
      </c>
      <c r="J37" s="76"/>
      <c r="K37" s="76"/>
      <c r="L37" s="76"/>
      <c r="M37" s="76"/>
      <c r="N37" s="76" t="s">
        <v>147</v>
      </c>
      <c r="O37" s="76"/>
      <c r="P37" s="76"/>
      <c r="Q37" s="76" t="s">
        <v>198</v>
      </c>
      <c r="R37" s="76"/>
      <c r="S37" s="76"/>
      <c r="T37" s="213"/>
      <c r="U37" s="223" t="s">
        <v>198</v>
      </c>
      <c r="V37" s="224"/>
      <c r="W37" s="225"/>
      <c r="X37" s="125">
        <f t="shared" si="2"/>
        <v>9</v>
      </c>
      <c r="Y37" s="125"/>
      <c r="Z37" s="125"/>
      <c r="AA37" s="80"/>
      <c r="AB37" s="80"/>
      <c r="AC37" s="80"/>
      <c r="AD37" s="80"/>
      <c r="AE37" s="80"/>
      <c r="AF37" s="80"/>
      <c r="AG37" s="23"/>
    </row>
    <row r="38" spans="2:33" ht="37.15" customHeight="1" x14ac:dyDescent="0.35">
      <c r="B38" s="22"/>
      <c r="E38" s="76" t="s">
        <v>30</v>
      </c>
      <c r="F38" s="76"/>
      <c r="G38" s="76"/>
      <c r="H38" s="76"/>
      <c r="I38" s="76" t="s">
        <v>64</v>
      </c>
      <c r="J38" s="76"/>
      <c r="K38" s="76"/>
      <c r="L38" s="76"/>
      <c r="M38" s="76"/>
      <c r="N38" s="76" t="s">
        <v>147</v>
      </c>
      <c r="O38" s="76"/>
      <c r="P38" s="76"/>
      <c r="Q38" s="76" t="s">
        <v>199</v>
      </c>
      <c r="R38" s="76"/>
      <c r="S38" s="76"/>
      <c r="T38" s="213"/>
      <c r="U38" s="223" t="s">
        <v>199</v>
      </c>
      <c r="V38" s="224"/>
      <c r="W38" s="225"/>
      <c r="X38" s="125">
        <f t="shared" si="2"/>
        <v>9</v>
      </c>
      <c r="Y38" s="125"/>
      <c r="Z38" s="125"/>
      <c r="AA38" s="80"/>
      <c r="AB38" s="80"/>
      <c r="AC38" s="80"/>
      <c r="AD38" s="80"/>
      <c r="AE38" s="80"/>
      <c r="AF38" s="80"/>
      <c r="AG38" s="23"/>
    </row>
    <row r="39" spans="2:33" ht="37.15" customHeight="1" x14ac:dyDescent="0.35">
      <c r="B39" s="22"/>
      <c r="E39" s="76" t="s">
        <v>30</v>
      </c>
      <c r="F39" s="76"/>
      <c r="G39" s="76"/>
      <c r="H39" s="76"/>
      <c r="I39" s="76" t="s">
        <v>65</v>
      </c>
      <c r="J39" s="76"/>
      <c r="K39" s="76"/>
      <c r="L39" s="76"/>
      <c r="M39" s="76"/>
      <c r="N39" s="76" t="s">
        <v>147</v>
      </c>
      <c r="O39" s="76"/>
      <c r="P39" s="76"/>
      <c r="Q39" s="76" t="s">
        <v>200</v>
      </c>
      <c r="R39" s="76"/>
      <c r="S39" s="76"/>
      <c r="T39" s="213"/>
      <c r="U39" s="223" t="s">
        <v>200</v>
      </c>
      <c r="V39" s="224"/>
      <c r="W39" s="225"/>
      <c r="X39" s="125">
        <f t="shared" si="2"/>
        <v>9</v>
      </c>
      <c r="Y39" s="125"/>
      <c r="Z39" s="125"/>
      <c r="AA39" s="80"/>
      <c r="AB39" s="80"/>
      <c r="AC39" s="80"/>
      <c r="AD39" s="80"/>
      <c r="AE39" s="80"/>
      <c r="AF39" s="80"/>
      <c r="AG39" s="23"/>
    </row>
    <row r="40" spans="2:33" ht="37.15" customHeight="1" x14ac:dyDescent="0.35">
      <c r="B40" s="22"/>
      <c r="E40" s="76" t="s">
        <v>30</v>
      </c>
      <c r="F40" s="76"/>
      <c r="G40" s="76"/>
      <c r="H40" s="76"/>
      <c r="I40" s="76" t="s">
        <v>66</v>
      </c>
      <c r="J40" s="76"/>
      <c r="K40" s="76"/>
      <c r="L40" s="76"/>
      <c r="M40" s="76"/>
      <c r="N40" s="76" t="s">
        <v>147</v>
      </c>
      <c r="O40" s="76"/>
      <c r="P40" s="76"/>
      <c r="Q40" s="76" t="s">
        <v>201</v>
      </c>
      <c r="R40" s="76"/>
      <c r="S40" s="76"/>
      <c r="T40" s="213"/>
      <c r="U40" s="223" t="s">
        <v>201</v>
      </c>
      <c r="V40" s="224"/>
      <c r="W40" s="225"/>
      <c r="X40" s="125">
        <f t="shared" si="2"/>
        <v>9</v>
      </c>
      <c r="Y40" s="125"/>
      <c r="Z40" s="125"/>
      <c r="AA40" s="80"/>
      <c r="AB40" s="80"/>
      <c r="AC40" s="80"/>
      <c r="AD40" s="80"/>
      <c r="AE40" s="80"/>
      <c r="AF40" s="80"/>
      <c r="AG40" s="23"/>
    </row>
    <row r="41" spans="2:33" ht="37.15" customHeight="1" x14ac:dyDescent="0.35">
      <c r="B41" s="22"/>
      <c r="E41" s="76" t="s">
        <v>30</v>
      </c>
      <c r="F41" s="76"/>
      <c r="G41" s="76"/>
      <c r="H41" s="76"/>
      <c r="I41" s="76" t="s">
        <v>64</v>
      </c>
      <c r="J41" s="76"/>
      <c r="K41" s="76"/>
      <c r="L41" s="76"/>
      <c r="M41" s="76"/>
      <c r="N41" s="76" t="s">
        <v>150</v>
      </c>
      <c r="O41" s="76"/>
      <c r="P41" s="76"/>
      <c r="Q41" s="76" t="s">
        <v>198</v>
      </c>
      <c r="R41" s="76"/>
      <c r="S41" s="76"/>
      <c r="T41" s="213"/>
      <c r="U41" s="223" t="s">
        <v>198</v>
      </c>
      <c r="V41" s="224"/>
      <c r="W41" s="225"/>
      <c r="X41" s="125">
        <f t="shared" si="2"/>
        <v>9</v>
      </c>
      <c r="Y41" s="125"/>
      <c r="Z41" s="125"/>
      <c r="AA41" s="80"/>
      <c r="AB41" s="80"/>
      <c r="AC41" s="80"/>
      <c r="AD41" s="80"/>
      <c r="AE41" s="80"/>
      <c r="AF41" s="80"/>
      <c r="AG41" s="23"/>
    </row>
    <row r="42" spans="2:33" ht="37.15" customHeight="1" x14ac:dyDescent="0.35">
      <c r="B42" s="22"/>
      <c r="E42" s="76" t="s">
        <v>30</v>
      </c>
      <c r="F42" s="76"/>
      <c r="G42" s="76"/>
      <c r="H42" s="76"/>
      <c r="I42" s="76" t="s">
        <v>65</v>
      </c>
      <c r="J42" s="76"/>
      <c r="K42" s="76"/>
      <c r="L42" s="76"/>
      <c r="M42" s="76"/>
      <c r="N42" s="76" t="s">
        <v>150</v>
      </c>
      <c r="O42" s="76"/>
      <c r="P42" s="76"/>
      <c r="Q42" s="76" t="s">
        <v>198</v>
      </c>
      <c r="R42" s="76"/>
      <c r="S42" s="76"/>
      <c r="T42" s="213"/>
      <c r="U42" s="223" t="s">
        <v>198</v>
      </c>
      <c r="V42" s="224"/>
      <c r="W42" s="225"/>
      <c r="X42" s="125">
        <f t="shared" si="2"/>
        <v>9</v>
      </c>
      <c r="Y42" s="125"/>
      <c r="Z42" s="125"/>
      <c r="AA42" s="80"/>
      <c r="AB42" s="80"/>
      <c r="AC42" s="80"/>
      <c r="AD42" s="80"/>
      <c r="AE42" s="80"/>
      <c r="AF42" s="80"/>
      <c r="AG42" s="23"/>
    </row>
    <row r="43" spans="2:33" ht="37.15" customHeight="1" x14ac:dyDescent="0.35">
      <c r="B43" s="22"/>
      <c r="E43" s="76" t="s">
        <v>30</v>
      </c>
      <c r="F43" s="76"/>
      <c r="G43" s="76"/>
      <c r="H43" s="76"/>
      <c r="I43" s="76" t="s">
        <v>66</v>
      </c>
      <c r="J43" s="76"/>
      <c r="K43" s="76"/>
      <c r="L43" s="76"/>
      <c r="M43" s="76"/>
      <c r="N43" s="76" t="s">
        <v>150</v>
      </c>
      <c r="O43" s="76"/>
      <c r="P43" s="76"/>
      <c r="Q43" s="76" t="s">
        <v>198</v>
      </c>
      <c r="R43" s="76"/>
      <c r="S43" s="76"/>
      <c r="T43" s="213"/>
      <c r="U43" s="223" t="s">
        <v>198</v>
      </c>
      <c r="V43" s="224"/>
      <c r="W43" s="225"/>
      <c r="X43" s="125">
        <f t="shared" si="2"/>
        <v>9</v>
      </c>
      <c r="Y43" s="125"/>
      <c r="Z43" s="125"/>
      <c r="AA43" s="80"/>
      <c r="AB43" s="80"/>
      <c r="AC43" s="80"/>
      <c r="AD43" s="80"/>
      <c r="AE43" s="80"/>
      <c r="AF43" s="80"/>
      <c r="AG43" s="23"/>
    </row>
    <row r="44" spans="2:33" ht="37.15" customHeight="1" x14ac:dyDescent="0.35">
      <c r="B44" s="22"/>
      <c r="E44" s="76" t="s">
        <v>30</v>
      </c>
      <c r="F44" s="76"/>
      <c r="G44" s="76"/>
      <c r="H44" s="76"/>
      <c r="I44" s="76" t="s">
        <v>148</v>
      </c>
      <c r="J44" s="76"/>
      <c r="K44" s="76"/>
      <c r="L44" s="76"/>
      <c r="M44" s="76"/>
      <c r="N44" s="76" t="s">
        <v>147</v>
      </c>
      <c r="O44" s="76"/>
      <c r="P44" s="76"/>
      <c r="Q44" s="76" t="str">
        <f>IF($P$26="STPAR","Trip 3 Fasa &amp; Reclose","Trip 3 Fasa")</f>
        <v>Trip 3 Fasa &amp; Reclose</v>
      </c>
      <c r="R44" s="76"/>
      <c r="S44" s="76"/>
      <c r="T44" s="213"/>
      <c r="U44" s="223" t="s">
        <v>207</v>
      </c>
      <c r="V44" s="224"/>
      <c r="W44" s="225"/>
      <c r="X44" s="125">
        <f t="shared" si="2"/>
        <v>9</v>
      </c>
      <c r="Y44" s="125"/>
      <c r="Z44" s="125"/>
      <c r="AA44" s="80"/>
      <c r="AB44" s="80"/>
      <c r="AC44" s="80"/>
      <c r="AD44" s="80"/>
      <c r="AE44" s="80"/>
      <c r="AF44" s="80"/>
      <c r="AG44" s="23"/>
    </row>
    <row r="45" spans="2:33" ht="37.15" customHeight="1" x14ac:dyDescent="0.35">
      <c r="B45" s="22"/>
      <c r="E45" s="76" t="s">
        <v>30</v>
      </c>
      <c r="F45" s="76"/>
      <c r="G45" s="76"/>
      <c r="H45" s="76"/>
      <c r="I45" s="76" t="s">
        <v>148</v>
      </c>
      <c r="J45" s="76"/>
      <c r="K45" s="76"/>
      <c r="L45" s="76"/>
      <c r="M45" s="76"/>
      <c r="N45" s="76" t="s">
        <v>150</v>
      </c>
      <c r="O45" s="76"/>
      <c r="P45" s="76"/>
      <c r="Q45" s="76" t="s">
        <v>198</v>
      </c>
      <c r="R45" s="76"/>
      <c r="S45" s="76"/>
      <c r="T45" s="213"/>
      <c r="U45" s="223" t="s">
        <v>198</v>
      </c>
      <c r="V45" s="224"/>
      <c r="W45" s="225"/>
      <c r="X45" s="125">
        <f t="shared" si="2"/>
        <v>9</v>
      </c>
      <c r="Y45" s="125"/>
      <c r="Z45" s="125"/>
      <c r="AA45" s="80"/>
      <c r="AB45" s="80"/>
      <c r="AC45" s="80"/>
      <c r="AD45" s="80"/>
      <c r="AE45" s="80"/>
      <c r="AF45" s="80"/>
      <c r="AG45" s="23"/>
    </row>
    <row r="46" spans="2:33" ht="37.15" customHeight="1" x14ac:dyDescent="0.35">
      <c r="B46" s="22"/>
      <c r="E46" s="76" t="s">
        <v>30</v>
      </c>
      <c r="F46" s="76"/>
      <c r="G46" s="76"/>
      <c r="H46" s="76"/>
      <c r="I46" s="76" t="s">
        <v>149</v>
      </c>
      <c r="J46" s="76"/>
      <c r="K46" s="76"/>
      <c r="L46" s="76"/>
      <c r="M46" s="76"/>
      <c r="N46" s="76" t="s">
        <v>147</v>
      </c>
      <c r="O46" s="76"/>
      <c r="P46" s="76"/>
      <c r="Q46" s="76" t="s">
        <v>198</v>
      </c>
      <c r="R46" s="76"/>
      <c r="S46" s="76"/>
      <c r="T46" s="213"/>
      <c r="U46" s="223" t="s">
        <v>198</v>
      </c>
      <c r="V46" s="224"/>
      <c r="W46" s="225"/>
      <c r="X46" s="125">
        <f t="shared" si="2"/>
        <v>9</v>
      </c>
      <c r="Y46" s="125"/>
      <c r="Z46" s="125"/>
      <c r="AA46" s="80"/>
      <c r="AB46" s="80"/>
      <c r="AC46" s="80"/>
      <c r="AD46" s="80"/>
      <c r="AE46" s="80"/>
      <c r="AF46" s="80"/>
      <c r="AG46" s="23"/>
    </row>
    <row r="47" spans="2:33" ht="37.15" customHeight="1" x14ac:dyDescent="0.35">
      <c r="B47" s="22"/>
      <c r="E47" s="76" t="s">
        <v>31</v>
      </c>
      <c r="F47" s="76"/>
      <c r="G47" s="76"/>
      <c r="H47" s="76"/>
      <c r="I47" s="76" t="s">
        <v>157</v>
      </c>
      <c r="J47" s="76"/>
      <c r="K47" s="76"/>
      <c r="L47" s="76"/>
      <c r="M47" s="76"/>
      <c r="N47" s="76" t="s">
        <v>147</v>
      </c>
      <c r="O47" s="76"/>
      <c r="P47" s="76"/>
      <c r="Q47" s="76" t="s">
        <v>198</v>
      </c>
      <c r="R47" s="76"/>
      <c r="S47" s="76"/>
      <c r="T47" s="213"/>
      <c r="U47" s="223" t="s">
        <v>198</v>
      </c>
      <c r="V47" s="224"/>
      <c r="W47" s="225"/>
      <c r="X47" s="125">
        <f t="shared" si="2"/>
        <v>9</v>
      </c>
      <c r="Y47" s="125"/>
      <c r="Z47" s="125"/>
      <c r="AA47" s="80"/>
      <c r="AB47" s="80"/>
      <c r="AC47" s="80"/>
      <c r="AD47" s="80"/>
      <c r="AE47" s="80"/>
      <c r="AF47" s="80"/>
      <c r="AG47" s="23"/>
    </row>
    <row r="48" spans="2:33" ht="37.15" customHeight="1" x14ac:dyDescent="0.35">
      <c r="B48" s="22"/>
      <c r="E48" s="76" t="s">
        <v>287</v>
      </c>
      <c r="F48" s="76"/>
      <c r="G48" s="76"/>
      <c r="H48" s="76"/>
      <c r="I48" s="76" t="s">
        <v>64</v>
      </c>
      <c r="J48" s="76"/>
      <c r="K48" s="76"/>
      <c r="L48" s="76"/>
      <c r="M48" s="76"/>
      <c r="N48" s="76" t="s">
        <v>147</v>
      </c>
      <c r="O48" s="76"/>
      <c r="P48" s="76"/>
      <c r="Q48" s="76" t="s">
        <v>199</v>
      </c>
      <c r="R48" s="76"/>
      <c r="S48" s="76"/>
      <c r="T48" s="213"/>
      <c r="U48" s="223" t="s">
        <v>199</v>
      </c>
      <c r="V48" s="224"/>
      <c r="W48" s="225"/>
      <c r="X48" s="125">
        <f t="shared" si="2"/>
        <v>9</v>
      </c>
      <c r="Y48" s="125"/>
      <c r="Z48" s="125"/>
      <c r="AA48" s="80"/>
      <c r="AB48" s="80"/>
      <c r="AC48" s="80"/>
      <c r="AD48" s="80"/>
      <c r="AE48" s="80"/>
      <c r="AF48" s="80"/>
      <c r="AG48" s="23"/>
    </row>
    <row r="49" spans="2:33" ht="37.15" customHeight="1" x14ac:dyDescent="0.35">
      <c r="B49" s="22"/>
      <c r="E49" s="76" t="s">
        <v>287</v>
      </c>
      <c r="F49" s="76"/>
      <c r="G49" s="76"/>
      <c r="H49" s="76"/>
      <c r="I49" s="76" t="s">
        <v>65</v>
      </c>
      <c r="J49" s="76"/>
      <c r="K49" s="76"/>
      <c r="L49" s="76"/>
      <c r="M49" s="76"/>
      <c r="N49" s="76" t="s">
        <v>147</v>
      </c>
      <c r="O49" s="76"/>
      <c r="P49" s="76"/>
      <c r="Q49" s="76" t="s">
        <v>200</v>
      </c>
      <c r="R49" s="76"/>
      <c r="S49" s="76"/>
      <c r="T49" s="213"/>
      <c r="U49" s="223" t="s">
        <v>200</v>
      </c>
      <c r="V49" s="224"/>
      <c r="W49" s="225"/>
      <c r="X49" s="125">
        <f t="shared" si="2"/>
        <v>9</v>
      </c>
      <c r="Y49" s="125"/>
      <c r="Z49" s="125"/>
      <c r="AA49" s="80"/>
      <c r="AB49" s="80"/>
      <c r="AC49" s="80"/>
      <c r="AD49" s="80"/>
      <c r="AE49" s="80"/>
      <c r="AF49" s="80"/>
      <c r="AG49" s="23"/>
    </row>
    <row r="50" spans="2:33" ht="37.15" customHeight="1" x14ac:dyDescent="0.35">
      <c r="B50" s="22"/>
      <c r="E50" s="76" t="s">
        <v>287</v>
      </c>
      <c r="F50" s="76"/>
      <c r="G50" s="76"/>
      <c r="H50" s="76"/>
      <c r="I50" s="76" t="s">
        <v>66</v>
      </c>
      <c r="J50" s="76"/>
      <c r="K50" s="76"/>
      <c r="L50" s="76"/>
      <c r="M50" s="76"/>
      <c r="N50" s="76" t="s">
        <v>147</v>
      </c>
      <c r="O50" s="76"/>
      <c r="P50" s="76"/>
      <c r="Q50" s="76" t="s">
        <v>201</v>
      </c>
      <c r="R50" s="76"/>
      <c r="S50" s="76"/>
      <c r="T50" s="213"/>
      <c r="U50" s="223" t="s">
        <v>201</v>
      </c>
      <c r="V50" s="224"/>
      <c r="W50" s="225"/>
      <c r="X50" s="125">
        <f t="shared" si="2"/>
        <v>9</v>
      </c>
      <c r="Y50" s="125"/>
      <c r="Z50" s="125"/>
      <c r="AA50" s="80"/>
      <c r="AB50" s="80"/>
      <c r="AC50" s="80"/>
      <c r="AD50" s="80"/>
      <c r="AE50" s="80"/>
      <c r="AF50" s="80"/>
      <c r="AG50" s="23"/>
    </row>
    <row r="51" spans="2:33" ht="37.15" customHeight="1" x14ac:dyDescent="0.35">
      <c r="B51" s="22"/>
      <c r="E51" s="76" t="s">
        <v>287</v>
      </c>
      <c r="F51" s="76"/>
      <c r="G51" s="76"/>
      <c r="H51" s="76"/>
      <c r="I51" s="76" t="s">
        <v>157</v>
      </c>
      <c r="J51" s="76"/>
      <c r="K51" s="76"/>
      <c r="L51" s="76"/>
      <c r="M51" s="76"/>
      <c r="N51" s="76" t="s">
        <v>150</v>
      </c>
      <c r="O51" s="76"/>
      <c r="P51" s="76"/>
      <c r="Q51" s="76" t="s">
        <v>198</v>
      </c>
      <c r="R51" s="76"/>
      <c r="S51" s="76"/>
      <c r="T51" s="213"/>
      <c r="U51" s="223" t="s">
        <v>198</v>
      </c>
      <c r="V51" s="224"/>
      <c r="W51" s="225"/>
      <c r="X51" s="125">
        <f t="shared" si="2"/>
        <v>9</v>
      </c>
      <c r="Y51" s="125"/>
      <c r="Z51" s="125"/>
      <c r="AA51" s="80"/>
      <c r="AB51" s="80"/>
      <c r="AC51" s="80"/>
      <c r="AD51" s="80"/>
      <c r="AE51" s="80"/>
      <c r="AF51" s="80"/>
      <c r="AG51" s="23"/>
    </row>
    <row r="52" spans="2:33" ht="37.15" customHeight="1" x14ac:dyDescent="0.35">
      <c r="B52" s="22"/>
      <c r="E52" s="76" t="s">
        <v>287</v>
      </c>
      <c r="F52" s="76"/>
      <c r="G52" s="76"/>
      <c r="H52" s="76"/>
      <c r="I52" s="76" t="s">
        <v>148</v>
      </c>
      <c r="J52" s="76"/>
      <c r="K52" s="76"/>
      <c r="L52" s="76"/>
      <c r="M52" s="76"/>
      <c r="N52" s="76" t="s">
        <v>147</v>
      </c>
      <c r="O52" s="76"/>
      <c r="P52" s="76"/>
      <c r="Q52" s="76" t="str">
        <f>IF($P$26="STPAR","Trip 3 Fasa &amp; Reclose","Trip 3 Fasa")</f>
        <v>Trip 3 Fasa &amp; Reclose</v>
      </c>
      <c r="R52" s="76"/>
      <c r="S52" s="76"/>
      <c r="T52" s="213"/>
      <c r="U52" s="223" t="s">
        <v>207</v>
      </c>
      <c r="V52" s="224"/>
      <c r="W52" s="225"/>
      <c r="X52" s="125">
        <f t="shared" si="2"/>
        <v>9</v>
      </c>
      <c r="Y52" s="125"/>
      <c r="Z52" s="125"/>
      <c r="AA52" s="80"/>
      <c r="AB52" s="80"/>
      <c r="AC52" s="80"/>
      <c r="AD52" s="80"/>
      <c r="AE52" s="80"/>
      <c r="AF52" s="80"/>
      <c r="AG52" s="23"/>
    </row>
    <row r="53" spans="2:33" ht="37.15" customHeight="1" x14ac:dyDescent="0.35">
      <c r="B53" s="22"/>
      <c r="E53" s="76" t="s">
        <v>287</v>
      </c>
      <c r="F53" s="76"/>
      <c r="G53" s="76"/>
      <c r="H53" s="76"/>
      <c r="I53" s="76" t="s">
        <v>148</v>
      </c>
      <c r="J53" s="76"/>
      <c r="K53" s="76"/>
      <c r="L53" s="76"/>
      <c r="M53" s="76"/>
      <c r="N53" s="76" t="s">
        <v>150</v>
      </c>
      <c r="O53" s="76"/>
      <c r="P53" s="76"/>
      <c r="Q53" s="76" t="s">
        <v>198</v>
      </c>
      <c r="R53" s="76"/>
      <c r="S53" s="76"/>
      <c r="T53" s="213"/>
      <c r="U53" s="223" t="s">
        <v>198</v>
      </c>
      <c r="V53" s="224"/>
      <c r="W53" s="225"/>
      <c r="X53" s="125">
        <f t="shared" si="2"/>
        <v>9</v>
      </c>
      <c r="Y53" s="125"/>
      <c r="Z53" s="125"/>
      <c r="AA53" s="80"/>
      <c r="AB53" s="80"/>
      <c r="AC53" s="80"/>
      <c r="AD53" s="80"/>
      <c r="AE53" s="80"/>
      <c r="AF53" s="80"/>
      <c r="AG53" s="23"/>
    </row>
    <row r="54" spans="2:33" ht="37.15" customHeight="1" x14ac:dyDescent="0.35">
      <c r="B54" s="22"/>
      <c r="E54" s="76" t="s">
        <v>141</v>
      </c>
      <c r="F54" s="76"/>
      <c r="G54" s="76"/>
      <c r="H54" s="76"/>
      <c r="I54" s="76" t="s">
        <v>157</v>
      </c>
      <c r="J54" s="76"/>
      <c r="K54" s="76"/>
      <c r="L54" s="76"/>
      <c r="M54" s="76"/>
      <c r="N54" s="76" t="s">
        <v>147</v>
      </c>
      <c r="O54" s="76"/>
      <c r="P54" s="76"/>
      <c r="Q54" s="76" t="s">
        <v>198</v>
      </c>
      <c r="R54" s="76"/>
      <c r="S54" s="76"/>
      <c r="T54" s="213"/>
      <c r="U54" s="223" t="s">
        <v>198</v>
      </c>
      <c r="V54" s="224"/>
      <c r="W54" s="225"/>
      <c r="X54" s="125">
        <f t="shared" si="2"/>
        <v>9</v>
      </c>
      <c r="Y54" s="125"/>
      <c r="Z54" s="125"/>
      <c r="AA54" s="80"/>
      <c r="AB54" s="80"/>
      <c r="AC54" s="80"/>
      <c r="AD54" s="80"/>
      <c r="AE54" s="80"/>
      <c r="AF54" s="80"/>
      <c r="AG54" s="23"/>
    </row>
    <row r="55" spans="2:33" ht="65.5" customHeight="1" x14ac:dyDescent="0.35">
      <c r="B55" s="22"/>
      <c r="E55" s="76" t="s">
        <v>184</v>
      </c>
      <c r="F55" s="76"/>
      <c r="G55" s="76"/>
      <c r="H55" s="76"/>
      <c r="I55" s="76" t="s">
        <v>157</v>
      </c>
      <c r="J55" s="76"/>
      <c r="K55" s="76"/>
      <c r="L55" s="76"/>
      <c r="M55" s="76"/>
      <c r="N55" s="76" t="s">
        <v>147</v>
      </c>
      <c r="O55" s="76"/>
      <c r="P55" s="76"/>
      <c r="Q55" s="76" t="s">
        <v>202</v>
      </c>
      <c r="R55" s="76"/>
      <c r="S55" s="76"/>
      <c r="T55" s="213"/>
      <c r="U55" s="223"/>
      <c r="V55" s="224"/>
      <c r="W55" s="225"/>
      <c r="X55" s="125">
        <f t="shared" si="2"/>
        <v>9</v>
      </c>
      <c r="Y55" s="125"/>
      <c r="Z55" s="125"/>
      <c r="AA55" s="80"/>
      <c r="AB55" s="80"/>
      <c r="AC55" s="80"/>
      <c r="AD55" s="80"/>
      <c r="AE55" s="80"/>
      <c r="AF55" s="80"/>
      <c r="AG55" s="23"/>
    </row>
    <row r="56" spans="2:33" ht="64.900000000000006" customHeight="1" x14ac:dyDescent="0.35">
      <c r="B56" s="22"/>
      <c r="E56" s="76" t="s">
        <v>183</v>
      </c>
      <c r="F56" s="76"/>
      <c r="G56" s="76"/>
      <c r="H56" s="76"/>
      <c r="I56" s="76" t="s">
        <v>157</v>
      </c>
      <c r="J56" s="76"/>
      <c r="K56" s="76"/>
      <c r="L56" s="76"/>
      <c r="M56" s="76"/>
      <c r="N56" s="76" t="s">
        <v>147</v>
      </c>
      <c r="O56" s="76"/>
      <c r="P56" s="76"/>
      <c r="Q56" s="76" t="s">
        <v>203</v>
      </c>
      <c r="R56" s="76"/>
      <c r="S56" s="76"/>
      <c r="T56" s="213"/>
      <c r="U56" s="223"/>
      <c r="V56" s="224"/>
      <c r="W56" s="225"/>
      <c r="X56" s="125">
        <f t="shared" si="2"/>
        <v>9</v>
      </c>
      <c r="Y56" s="125"/>
      <c r="Z56" s="125"/>
      <c r="AA56" s="80"/>
      <c r="AB56" s="80"/>
      <c r="AC56" s="80"/>
      <c r="AD56" s="80"/>
      <c r="AE56" s="80"/>
      <c r="AF56" s="80"/>
      <c r="AG56" s="23"/>
    </row>
    <row r="57" spans="2:33" ht="64.900000000000006" customHeight="1" x14ac:dyDescent="0.35">
      <c r="B57" s="22"/>
      <c r="E57" s="76" t="s">
        <v>185</v>
      </c>
      <c r="F57" s="76"/>
      <c r="G57" s="76"/>
      <c r="H57" s="76"/>
      <c r="I57" s="76" t="s">
        <v>157</v>
      </c>
      <c r="J57" s="76"/>
      <c r="K57" s="76"/>
      <c r="L57" s="76"/>
      <c r="M57" s="76"/>
      <c r="N57" s="76" t="s">
        <v>147</v>
      </c>
      <c r="O57" s="76"/>
      <c r="P57" s="76"/>
      <c r="Q57" s="76" t="s">
        <v>204</v>
      </c>
      <c r="R57" s="76"/>
      <c r="S57" s="76"/>
      <c r="T57" s="213"/>
      <c r="U57" s="223"/>
      <c r="V57" s="224"/>
      <c r="W57" s="225"/>
      <c r="X57" s="125">
        <f t="shared" si="2"/>
        <v>9</v>
      </c>
      <c r="Y57" s="125"/>
      <c r="Z57" s="125"/>
      <c r="AA57" s="80"/>
      <c r="AB57" s="80"/>
      <c r="AC57" s="80"/>
      <c r="AD57" s="80"/>
      <c r="AE57" s="80"/>
      <c r="AF57" s="80"/>
      <c r="AG57" s="23"/>
    </row>
    <row r="58" spans="2:33" ht="37.15" customHeight="1" x14ac:dyDescent="0.35">
      <c r="B58" s="22"/>
      <c r="E58" s="76" t="s">
        <v>152</v>
      </c>
      <c r="F58" s="76"/>
      <c r="G58" s="76"/>
      <c r="H58" s="76"/>
      <c r="I58" s="76" t="s">
        <v>64</v>
      </c>
      <c r="J58" s="76"/>
      <c r="K58" s="76"/>
      <c r="L58" s="76"/>
      <c r="M58" s="76"/>
      <c r="N58" s="76" t="s">
        <v>147</v>
      </c>
      <c r="O58" s="76"/>
      <c r="P58" s="76"/>
      <c r="Q58" s="76" t="s">
        <v>198</v>
      </c>
      <c r="R58" s="76"/>
      <c r="S58" s="76"/>
      <c r="T58" s="213"/>
      <c r="U58" s="223"/>
      <c r="V58" s="224"/>
      <c r="W58" s="225"/>
      <c r="X58" s="125">
        <f t="shared" si="2"/>
        <v>9</v>
      </c>
      <c r="Y58" s="125"/>
      <c r="Z58" s="125"/>
      <c r="AA58" s="80"/>
      <c r="AB58" s="80"/>
      <c r="AC58" s="80"/>
      <c r="AD58" s="80"/>
      <c r="AE58" s="80"/>
      <c r="AF58" s="80"/>
      <c r="AG58" s="23"/>
    </row>
    <row r="59" spans="2:33" ht="37.15" customHeight="1" x14ac:dyDescent="0.35">
      <c r="B59" s="22"/>
      <c r="E59" s="76" t="s">
        <v>152</v>
      </c>
      <c r="F59" s="76"/>
      <c r="G59" s="76"/>
      <c r="H59" s="76"/>
      <c r="I59" s="76" t="s">
        <v>65</v>
      </c>
      <c r="J59" s="76"/>
      <c r="K59" s="76"/>
      <c r="L59" s="76"/>
      <c r="M59" s="76"/>
      <c r="N59" s="76" t="s">
        <v>147</v>
      </c>
      <c r="O59" s="76"/>
      <c r="P59" s="76"/>
      <c r="Q59" s="76" t="s">
        <v>198</v>
      </c>
      <c r="R59" s="76"/>
      <c r="S59" s="76"/>
      <c r="T59" s="213"/>
      <c r="U59" s="223"/>
      <c r="V59" s="224"/>
      <c r="W59" s="225"/>
      <c r="X59" s="125">
        <f t="shared" si="2"/>
        <v>9</v>
      </c>
      <c r="Y59" s="125"/>
      <c r="Z59" s="125"/>
      <c r="AA59" s="80"/>
      <c r="AB59" s="80"/>
      <c r="AC59" s="80"/>
      <c r="AD59" s="80"/>
      <c r="AE59" s="80"/>
      <c r="AF59" s="80"/>
      <c r="AG59" s="23"/>
    </row>
    <row r="60" spans="2:33" ht="37.15" customHeight="1" x14ac:dyDescent="0.35">
      <c r="B60" s="22"/>
      <c r="E60" s="76" t="s">
        <v>152</v>
      </c>
      <c r="F60" s="76"/>
      <c r="G60" s="76"/>
      <c r="H60" s="76"/>
      <c r="I60" s="76" t="s">
        <v>66</v>
      </c>
      <c r="J60" s="76"/>
      <c r="K60" s="76"/>
      <c r="L60" s="76"/>
      <c r="M60" s="76"/>
      <c r="N60" s="76" t="s">
        <v>147</v>
      </c>
      <c r="O60" s="76"/>
      <c r="P60" s="76"/>
      <c r="Q60" s="76" t="s">
        <v>198</v>
      </c>
      <c r="R60" s="76"/>
      <c r="S60" s="76"/>
      <c r="T60" s="213"/>
      <c r="U60" s="223"/>
      <c r="V60" s="224"/>
      <c r="W60" s="225"/>
      <c r="X60" s="125">
        <f t="shared" si="2"/>
        <v>9</v>
      </c>
      <c r="Y60" s="125"/>
      <c r="Z60" s="125"/>
      <c r="AA60" s="80"/>
      <c r="AB60" s="80"/>
      <c r="AC60" s="80"/>
      <c r="AD60" s="80"/>
      <c r="AE60" s="80"/>
      <c r="AF60" s="80"/>
      <c r="AG60" s="23"/>
    </row>
    <row r="61" spans="2:33" ht="37.15" customHeight="1" x14ac:dyDescent="0.35">
      <c r="B61" s="22"/>
      <c r="E61" s="76" t="s">
        <v>285</v>
      </c>
      <c r="F61" s="76"/>
      <c r="G61" s="76"/>
      <c r="H61" s="76"/>
      <c r="I61" s="76" t="s">
        <v>64</v>
      </c>
      <c r="J61" s="76"/>
      <c r="K61" s="76"/>
      <c r="L61" s="76"/>
      <c r="M61" s="76"/>
      <c r="N61" s="76" t="s">
        <v>147</v>
      </c>
      <c r="O61" s="76"/>
      <c r="P61" s="76"/>
      <c r="Q61" s="76" t="s">
        <v>199</v>
      </c>
      <c r="R61" s="76"/>
      <c r="S61" s="76"/>
      <c r="T61" s="213"/>
      <c r="U61" s="223"/>
      <c r="V61" s="224"/>
      <c r="W61" s="225"/>
      <c r="X61" s="125">
        <f t="shared" si="2"/>
        <v>9</v>
      </c>
      <c r="Y61" s="125"/>
      <c r="Z61" s="125"/>
      <c r="AA61" s="80"/>
      <c r="AB61" s="80"/>
      <c r="AC61" s="80"/>
      <c r="AD61" s="80"/>
      <c r="AE61" s="80"/>
      <c r="AF61" s="80"/>
      <c r="AG61" s="23"/>
    </row>
    <row r="62" spans="2:33" ht="37.15" customHeight="1" x14ac:dyDescent="0.35">
      <c r="B62" s="22"/>
      <c r="E62" s="76" t="s">
        <v>285</v>
      </c>
      <c r="F62" s="76"/>
      <c r="G62" s="76"/>
      <c r="H62" s="76"/>
      <c r="I62" s="76" t="s">
        <v>65</v>
      </c>
      <c r="J62" s="76"/>
      <c r="K62" s="76"/>
      <c r="L62" s="76"/>
      <c r="M62" s="76"/>
      <c r="N62" s="76" t="s">
        <v>147</v>
      </c>
      <c r="O62" s="76"/>
      <c r="P62" s="76"/>
      <c r="Q62" s="76" t="s">
        <v>200</v>
      </c>
      <c r="R62" s="76"/>
      <c r="S62" s="76"/>
      <c r="T62" s="213"/>
      <c r="U62" s="223"/>
      <c r="V62" s="224"/>
      <c r="W62" s="225"/>
      <c r="X62" s="125">
        <f t="shared" si="2"/>
        <v>9</v>
      </c>
      <c r="Y62" s="125"/>
      <c r="Z62" s="125"/>
      <c r="AA62" s="80"/>
      <c r="AB62" s="80"/>
      <c r="AC62" s="80"/>
      <c r="AD62" s="80"/>
      <c r="AE62" s="80"/>
      <c r="AF62" s="80"/>
      <c r="AG62" s="23"/>
    </row>
    <row r="63" spans="2:33" ht="37.15" customHeight="1" x14ac:dyDescent="0.35">
      <c r="B63" s="22"/>
      <c r="E63" s="76" t="s">
        <v>285</v>
      </c>
      <c r="F63" s="76"/>
      <c r="G63" s="76"/>
      <c r="H63" s="76"/>
      <c r="I63" s="76" t="s">
        <v>66</v>
      </c>
      <c r="J63" s="76"/>
      <c r="K63" s="76"/>
      <c r="L63" s="76"/>
      <c r="M63" s="76"/>
      <c r="N63" s="76" t="s">
        <v>147</v>
      </c>
      <c r="O63" s="76"/>
      <c r="P63" s="76"/>
      <c r="Q63" s="76" t="s">
        <v>201</v>
      </c>
      <c r="R63" s="76"/>
      <c r="S63" s="76"/>
      <c r="T63" s="213"/>
      <c r="U63" s="223"/>
      <c r="V63" s="224"/>
      <c r="W63" s="225"/>
      <c r="X63" s="125">
        <f t="shared" si="2"/>
        <v>9</v>
      </c>
      <c r="Y63" s="125"/>
      <c r="Z63" s="125"/>
      <c r="AA63" s="80"/>
      <c r="AB63" s="80"/>
      <c r="AC63" s="80"/>
      <c r="AD63" s="80"/>
      <c r="AE63" s="80"/>
      <c r="AF63" s="80"/>
      <c r="AG63" s="23"/>
    </row>
    <row r="64" spans="2:33" ht="37.15" customHeight="1" x14ac:dyDescent="0.35">
      <c r="B64" s="22"/>
      <c r="E64" s="76" t="s">
        <v>285</v>
      </c>
      <c r="F64" s="76"/>
      <c r="G64" s="76"/>
      <c r="H64" s="76"/>
      <c r="I64" s="76" t="s">
        <v>157</v>
      </c>
      <c r="J64" s="76"/>
      <c r="K64" s="76"/>
      <c r="L64" s="76"/>
      <c r="M64" s="76"/>
      <c r="N64" s="76" t="s">
        <v>150</v>
      </c>
      <c r="O64" s="76"/>
      <c r="P64" s="76"/>
      <c r="Q64" s="76" t="s">
        <v>198</v>
      </c>
      <c r="R64" s="76"/>
      <c r="S64" s="76"/>
      <c r="T64" s="213"/>
      <c r="U64" s="223"/>
      <c r="V64" s="224"/>
      <c r="W64" s="225"/>
      <c r="X64" s="125">
        <f t="shared" si="2"/>
        <v>9</v>
      </c>
      <c r="Y64" s="125"/>
      <c r="Z64" s="125"/>
      <c r="AA64" s="80"/>
      <c r="AB64" s="80"/>
      <c r="AC64" s="80"/>
      <c r="AD64" s="80"/>
      <c r="AE64" s="80"/>
      <c r="AF64" s="80"/>
      <c r="AG64" s="23"/>
    </row>
    <row r="65" spans="2:33" ht="64.900000000000006" customHeight="1" x14ac:dyDescent="0.35">
      <c r="B65" s="22"/>
      <c r="E65" s="76" t="s">
        <v>30</v>
      </c>
      <c r="F65" s="76"/>
      <c r="G65" s="76"/>
      <c r="H65" s="76"/>
      <c r="I65" s="76" t="s">
        <v>186</v>
      </c>
      <c r="J65" s="76"/>
      <c r="K65" s="76"/>
      <c r="L65" s="76"/>
      <c r="M65" s="76"/>
      <c r="N65" s="76" t="s">
        <v>147</v>
      </c>
      <c r="O65" s="76"/>
      <c r="P65" s="76"/>
      <c r="Q65" s="76" t="s">
        <v>205</v>
      </c>
      <c r="R65" s="76"/>
      <c r="S65" s="76"/>
      <c r="T65" s="213"/>
      <c r="U65" s="223"/>
      <c r="V65" s="224"/>
      <c r="W65" s="225"/>
      <c r="X65" s="125">
        <f t="shared" si="2"/>
        <v>9</v>
      </c>
      <c r="Y65" s="125"/>
      <c r="Z65" s="125"/>
      <c r="AA65" s="80"/>
      <c r="AB65" s="80"/>
      <c r="AC65" s="80"/>
      <c r="AD65" s="80"/>
      <c r="AE65" s="80"/>
      <c r="AF65" s="80"/>
      <c r="AG65" s="23"/>
    </row>
    <row r="66" spans="2:33" ht="72.75" customHeight="1" x14ac:dyDescent="0.35">
      <c r="B66" s="22"/>
      <c r="E66" s="76" t="s">
        <v>30</v>
      </c>
      <c r="F66" s="76"/>
      <c r="G66" s="76"/>
      <c r="H66" s="76"/>
      <c r="I66" s="76" t="s">
        <v>187</v>
      </c>
      <c r="J66" s="76"/>
      <c r="K66" s="76"/>
      <c r="L66" s="76"/>
      <c r="M66" s="76"/>
      <c r="N66" s="76" t="s">
        <v>147</v>
      </c>
      <c r="O66" s="76"/>
      <c r="P66" s="76"/>
      <c r="Q66" s="76" t="str">
        <f>IF($P$26="STPAR","Trip 1 Fasa S &amp; Disusul Trip Fasa RT, Kemudian Reclose","Trip 1 Fasa S &amp; Disusul Trip Fasa RT")</f>
        <v>Trip 1 Fasa S &amp; Disusul Trip Fasa RT, Kemudian Reclose</v>
      </c>
      <c r="R66" s="76"/>
      <c r="S66" s="76"/>
      <c r="T66" s="213"/>
      <c r="U66" s="223"/>
      <c r="V66" s="224"/>
      <c r="W66" s="225"/>
      <c r="X66" s="125">
        <f t="shared" si="2"/>
        <v>9</v>
      </c>
      <c r="Y66" s="125"/>
      <c r="Z66" s="125"/>
      <c r="AA66" s="80"/>
      <c r="AB66" s="80"/>
      <c r="AC66" s="80"/>
      <c r="AD66" s="80"/>
      <c r="AE66" s="80"/>
      <c r="AF66" s="80"/>
      <c r="AG66" s="23"/>
    </row>
    <row r="67" spans="2:33" ht="37.15" customHeight="1" x14ac:dyDescent="0.35">
      <c r="B67" s="22"/>
      <c r="E67" s="76" t="s">
        <v>153</v>
      </c>
      <c r="F67" s="76"/>
      <c r="G67" s="76"/>
      <c r="H67" s="76"/>
      <c r="I67" s="76" t="s">
        <v>188</v>
      </c>
      <c r="J67" s="76"/>
      <c r="K67" s="76"/>
      <c r="L67" s="76"/>
      <c r="M67" s="76"/>
      <c r="N67" s="76" t="s">
        <v>147</v>
      </c>
      <c r="O67" s="76"/>
      <c r="P67" s="76"/>
      <c r="Q67" s="76" t="s">
        <v>206</v>
      </c>
      <c r="R67" s="76"/>
      <c r="S67" s="76"/>
      <c r="T67" s="213"/>
      <c r="U67" s="223"/>
      <c r="V67" s="224"/>
      <c r="W67" s="225"/>
      <c r="X67" s="125">
        <f t="shared" si="2"/>
        <v>9</v>
      </c>
      <c r="Y67" s="125"/>
      <c r="Z67" s="125"/>
      <c r="AA67" s="80"/>
      <c r="AB67" s="80"/>
      <c r="AC67" s="80"/>
      <c r="AD67" s="80"/>
      <c r="AE67" s="80"/>
      <c r="AF67" s="80"/>
      <c r="AG67" s="23"/>
    </row>
    <row r="68" spans="2:33" ht="64.900000000000006" customHeight="1" x14ac:dyDescent="0.35">
      <c r="B68" s="22"/>
      <c r="E68" s="76" t="s">
        <v>154</v>
      </c>
      <c r="F68" s="76"/>
      <c r="G68" s="76"/>
      <c r="H68" s="76"/>
      <c r="I68" s="76" t="s">
        <v>189</v>
      </c>
      <c r="J68" s="76"/>
      <c r="K68" s="76"/>
      <c r="L68" s="76"/>
      <c r="M68" s="76"/>
      <c r="N68" s="76" t="s">
        <v>147</v>
      </c>
      <c r="O68" s="76"/>
      <c r="P68" s="76"/>
      <c r="Q68" s="76" t="s">
        <v>206</v>
      </c>
      <c r="R68" s="76"/>
      <c r="S68" s="76"/>
      <c r="T68" s="213"/>
      <c r="U68" s="223"/>
      <c r="V68" s="224"/>
      <c r="W68" s="225"/>
      <c r="X68" s="125">
        <f t="shared" si="2"/>
        <v>9</v>
      </c>
      <c r="Y68" s="125"/>
      <c r="Z68" s="125"/>
      <c r="AA68" s="80"/>
      <c r="AB68" s="80"/>
      <c r="AC68" s="80"/>
      <c r="AD68" s="80"/>
      <c r="AE68" s="80"/>
      <c r="AF68" s="80"/>
      <c r="AG68" s="23"/>
    </row>
    <row r="69" spans="2:33" ht="64.900000000000006" customHeight="1" x14ac:dyDescent="0.35">
      <c r="B69" s="22"/>
      <c r="E69" s="76" t="s">
        <v>154</v>
      </c>
      <c r="F69" s="76"/>
      <c r="G69" s="76"/>
      <c r="H69" s="76"/>
      <c r="I69" s="76" t="s">
        <v>190</v>
      </c>
      <c r="J69" s="76"/>
      <c r="K69" s="76"/>
      <c r="L69" s="76"/>
      <c r="M69" s="76"/>
      <c r="N69" s="76" t="s">
        <v>147</v>
      </c>
      <c r="O69" s="76"/>
      <c r="P69" s="76"/>
      <c r="Q69" s="76" t="s">
        <v>206</v>
      </c>
      <c r="R69" s="76"/>
      <c r="S69" s="76"/>
      <c r="T69" s="213"/>
      <c r="U69" s="223"/>
      <c r="V69" s="224"/>
      <c r="W69" s="225"/>
      <c r="X69" s="125">
        <f t="shared" si="2"/>
        <v>9</v>
      </c>
      <c r="Y69" s="125"/>
      <c r="Z69" s="125"/>
      <c r="AA69" s="80"/>
      <c r="AB69" s="80"/>
      <c r="AC69" s="80"/>
      <c r="AD69" s="80"/>
      <c r="AE69" s="80"/>
      <c r="AF69" s="80"/>
      <c r="AG69" s="23"/>
    </row>
    <row r="70" spans="2:33" ht="37.15" customHeight="1" x14ac:dyDescent="0.35">
      <c r="B70" s="22"/>
      <c r="E70" s="76" t="s">
        <v>155</v>
      </c>
      <c r="F70" s="76"/>
      <c r="G70" s="76"/>
      <c r="H70" s="76"/>
      <c r="I70" s="76" t="s">
        <v>158</v>
      </c>
      <c r="J70" s="76"/>
      <c r="K70" s="76"/>
      <c r="L70" s="76"/>
      <c r="M70" s="76"/>
      <c r="N70" s="76" t="s">
        <v>147</v>
      </c>
      <c r="O70" s="76"/>
      <c r="P70" s="76"/>
      <c r="Q70" s="76" t="s">
        <v>206</v>
      </c>
      <c r="R70" s="76"/>
      <c r="S70" s="76"/>
      <c r="T70" s="213"/>
      <c r="U70" s="223"/>
      <c r="V70" s="224"/>
      <c r="W70" s="225"/>
      <c r="X70" s="125">
        <f t="shared" si="2"/>
        <v>9</v>
      </c>
      <c r="Y70" s="125"/>
      <c r="Z70" s="125"/>
      <c r="AA70" s="80"/>
      <c r="AB70" s="80"/>
      <c r="AC70" s="80"/>
      <c r="AD70" s="80"/>
      <c r="AE70" s="80"/>
      <c r="AF70" s="80"/>
      <c r="AG70" s="23"/>
    </row>
    <row r="71" spans="2:33" ht="37.15" customHeight="1" x14ac:dyDescent="0.35">
      <c r="B71" s="22"/>
      <c r="E71" s="76" t="s">
        <v>155</v>
      </c>
      <c r="F71" s="76"/>
      <c r="G71" s="76"/>
      <c r="H71" s="76"/>
      <c r="I71" s="76" t="s">
        <v>192</v>
      </c>
      <c r="J71" s="76"/>
      <c r="K71" s="76"/>
      <c r="L71" s="76"/>
      <c r="M71" s="76"/>
      <c r="N71" s="76" t="s">
        <v>147</v>
      </c>
      <c r="O71" s="76"/>
      <c r="P71" s="76"/>
      <c r="Q71" s="76" t="s">
        <v>206</v>
      </c>
      <c r="R71" s="76"/>
      <c r="S71" s="76"/>
      <c r="T71" s="213"/>
      <c r="U71" s="223"/>
      <c r="V71" s="224"/>
      <c r="W71" s="225"/>
      <c r="X71" s="125">
        <f t="shared" si="2"/>
        <v>9</v>
      </c>
      <c r="Y71" s="125"/>
      <c r="Z71" s="125"/>
      <c r="AA71" s="80"/>
      <c r="AB71" s="80"/>
      <c r="AC71" s="80"/>
      <c r="AD71" s="80"/>
      <c r="AE71" s="80"/>
      <c r="AF71" s="80"/>
      <c r="AG71" s="23"/>
    </row>
    <row r="72" spans="2:33" ht="37.15" customHeight="1" x14ac:dyDescent="0.35">
      <c r="B72" s="22"/>
      <c r="E72" s="76" t="s">
        <v>191</v>
      </c>
      <c r="F72" s="76"/>
      <c r="G72" s="76"/>
      <c r="H72" s="76"/>
      <c r="I72" s="76" t="s">
        <v>157</v>
      </c>
      <c r="J72" s="76"/>
      <c r="K72" s="76"/>
      <c r="L72" s="76"/>
      <c r="M72" s="76"/>
      <c r="N72" s="76" t="s">
        <v>147</v>
      </c>
      <c r="O72" s="76"/>
      <c r="P72" s="76"/>
      <c r="Q72" s="76" t="s">
        <v>198</v>
      </c>
      <c r="R72" s="76"/>
      <c r="S72" s="76"/>
      <c r="T72" s="213"/>
      <c r="U72" s="223"/>
      <c r="V72" s="224"/>
      <c r="W72" s="225"/>
      <c r="X72" s="125">
        <f t="shared" si="2"/>
        <v>9</v>
      </c>
      <c r="Y72" s="125"/>
      <c r="Z72" s="125"/>
      <c r="AA72" s="80"/>
      <c r="AB72" s="80"/>
      <c r="AC72" s="80"/>
      <c r="AD72" s="80"/>
      <c r="AE72" s="80"/>
      <c r="AF72" s="80"/>
      <c r="AG72" s="23"/>
    </row>
    <row r="73" spans="2:33" ht="16.899999999999999" customHeight="1" x14ac:dyDescent="0.35">
      <c r="B73" s="22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"/>
      <c r="Q73" s="2"/>
      <c r="R73" s="2"/>
      <c r="S73" s="2"/>
      <c r="AG73" s="23"/>
    </row>
    <row r="74" spans="2:33" ht="16.899999999999999" customHeight="1" x14ac:dyDescent="0.35">
      <c r="B74" s="22"/>
      <c r="E74" s="67" t="s">
        <v>245</v>
      </c>
      <c r="F74" s="67"/>
      <c r="G74" s="67"/>
      <c r="H74" s="67"/>
      <c r="I74" s="67"/>
      <c r="J74" s="67"/>
      <c r="K74" s="67"/>
      <c r="L74" s="67"/>
      <c r="M74" s="67"/>
      <c r="N74" s="67"/>
      <c r="O74" s="124"/>
      <c r="P74" s="91">
        <f>MIN(X29:Z72)</f>
        <v>9</v>
      </c>
      <c r="Q74" s="91"/>
      <c r="R74" s="91"/>
      <c r="S74" s="91"/>
      <c r="AG74" s="23"/>
    </row>
    <row r="75" spans="2:33" ht="16.899999999999999" customHeight="1" x14ac:dyDescent="0.35">
      <c r="B75" s="22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2"/>
      <c r="Q75" s="2"/>
      <c r="R75" s="2"/>
      <c r="S75" s="2"/>
      <c r="AG75" s="23"/>
    </row>
    <row r="76" spans="2:33" ht="16.899999999999999" customHeight="1" x14ac:dyDescent="0.35">
      <c r="B76" s="22"/>
      <c r="C76" s="34" t="s">
        <v>208</v>
      </c>
      <c r="D76" s="14"/>
      <c r="E76" s="14" t="s">
        <v>242</v>
      </c>
      <c r="AG76" s="23"/>
    </row>
    <row r="77" spans="2:33" ht="16.899999999999999" customHeight="1" x14ac:dyDescent="0.35">
      <c r="B77" s="22"/>
      <c r="C77" s="14"/>
      <c r="D77" s="14"/>
      <c r="E77" s="14"/>
      <c r="AG77" s="23"/>
    </row>
    <row r="78" spans="2:33" ht="37.15" customHeight="1" x14ac:dyDescent="0.35">
      <c r="B78" s="22"/>
      <c r="E78" s="172" t="s">
        <v>174</v>
      </c>
      <c r="F78" s="172"/>
      <c r="G78" s="172"/>
      <c r="H78" s="172"/>
      <c r="I78" s="172" t="s">
        <v>146</v>
      </c>
      <c r="J78" s="172"/>
      <c r="K78" s="172"/>
      <c r="L78" s="172"/>
      <c r="M78" s="172"/>
      <c r="N78" s="172" t="s">
        <v>136</v>
      </c>
      <c r="O78" s="172"/>
      <c r="P78" s="172"/>
      <c r="Q78" s="172"/>
      <c r="R78" s="172"/>
      <c r="S78" s="226" t="s">
        <v>51</v>
      </c>
      <c r="T78" s="226"/>
      <c r="U78" s="226"/>
      <c r="V78" s="226"/>
      <c r="W78" s="226"/>
      <c r="X78" s="227" t="s">
        <v>8</v>
      </c>
      <c r="Y78" s="227"/>
      <c r="Z78" s="227"/>
      <c r="AA78" s="226" t="s">
        <v>182</v>
      </c>
      <c r="AB78" s="226"/>
      <c r="AC78" s="226"/>
      <c r="AD78" s="226"/>
      <c r="AE78" s="226"/>
      <c r="AF78" s="226"/>
      <c r="AG78" s="23"/>
    </row>
    <row r="79" spans="2:33" ht="37.15" customHeight="1" x14ac:dyDescent="0.35">
      <c r="B79" s="22"/>
      <c r="E79" s="76" t="s">
        <v>243</v>
      </c>
      <c r="F79" s="76"/>
      <c r="G79" s="76"/>
      <c r="H79" s="76"/>
      <c r="I79" s="76" t="s">
        <v>69</v>
      </c>
      <c r="J79" s="76"/>
      <c r="K79" s="76"/>
      <c r="L79" s="76"/>
      <c r="M79" s="76"/>
      <c r="N79" s="76" t="s">
        <v>244</v>
      </c>
      <c r="O79" s="76"/>
      <c r="P79" s="76"/>
      <c r="Q79" s="76"/>
      <c r="R79" s="213"/>
      <c r="S79" s="80" t="s">
        <v>244</v>
      </c>
      <c r="T79" s="80"/>
      <c r="U79" s="80"/>
      <c r="V79" s="80"/>
      <c r="W79" s="80"/>
      <c r="X79" s="125">
        <f>IF(ISBLANK(S79),9,IF(S79=N79,9,1))</f>
        <v>9</v>
      </c>
      <c r="Y79" s="125"/>
      <c r="Z79" s="125"/>
      <c r="AA79" s="80" t="s">
        <v>316</v>
      </c>
      <c r="AB79" s="80"/>
      <c r="AC79" s="80"/>
      <c r="AD79" s="80"/>
      <c r="AE79" s="80"/>
      <c r="AF79" s="80"/>
      <c r="AG79" s="23"/>
    </row>
    <row r="80" spans="2:33" ht="37.15" customHeight="1" x14ac:dyDescent="0.35">
      <c r="B80" s="22"/>
      <c r="E80" s="76" t="s">
        <v>219</v>
      </c>
      <c r="F80" s="76"/>
      <c r="G80" s="76"/>
      <c r="H80" s="76"/>
      <c r="I80" s="76" t="s">
        <v>288</v>
      </c>
      <c r="J80" s="76"/>
      <c r="K80" s="76"/>
      <c r="L80" s="76"/>
      <c r="M80" s="76"/>
      <c r="N80" s="76" t="s">
        <v>244</v>
      </c>
      <c r="O80" s="76"/>
      <c r="P80" s="76"/>
      <c r="Q80" s="76"/>
      <c r="R80" s="213"/>
      <c r="S80" s="80" t="s">
        <v>244</v>
      </c>
      <c r="T80" s="80"/>
      <c r="U80" s="80"/>
      <c r="V80" s="80"/>
      <c r="W80" s="80"/>
      <c r="X80" s="125">
        <f>IF(ISBLANK(S80),9,IF(S80=N80,9,1))</f>
        <v>9</v>
      </c>
      <c r="Y80" s="125"/>
      <c r="Z80" s="125"/>
      <c r="AA80" s="80" t="s">
        <v>317</v>
      </c>
      <c r="AB80" s="80"/>
      <c r="AC80" s="80"/>
      <c r="AD80" s="80"/>
      <c r="AE80" s="80"/>
      <c r="AF80" s="80"/>
      <c r="AG80" s="23"/>
    </row>
    <row r="81" spans="2:33" ht="16.899999999999999" customHeight="1" x14ac:dyDescent="0.35">
      <c r="B81" s="2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2"/>
      <c r="Q81" s="2"/>
      <c r="R81" s="2"/>
      <c r="S81" s="2"/>
      <c r="AG81" s="23"/>
    </row>
    <row r="82" spans="2:33" ht="16.899999999999999" customHeight="1" x14ac:dyDescent="0.35">
      <c r="B82" s="22"/>
      <c r="E82" s="67" t="s">
        <v>246</v>
      </c>
      <c r="F82" s="67"/>
      <c r="G82" s="67"/>
      <c r="H82" s="67"/>
      <c r="I82" s="67"/>
      <c r="J82" s="67"/>
      <c r="K82" s="67"/>
      <c r="L82" s="67"/>
      <c r="M82" s="67"/>
      <c r="N82" s="67"/>
      <c r="O82" s="124"/>
      <c r="P82" s="91">
        <f>MIN(X79:Z80)</f>
        <v>9</v>
      </c>
      <c r="Q82" s="91"/>
      <c r="R82" s="91"/>
      <c r="S82" s="91"/>
      <c r="AG82" s="23"/>
    </row>
    <row r="83" spans="2:33" ht="16.899999999999999" customHeight="1" x14ac:dyDescent="0.35">
      <c r="B83" s="2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"/>
      <c r="Q83" s="2"/>
      <c r="R83" s="2"/>
      <c r="S83" s="2"/>
      <c r="AG83" s="23"/>
    </row>
    <row r="84" spans="2:33" ht="16.899999999999999" customHeight="1" x14ac:dyDescent="0.35">
      <c r="B84" s="22"/>
      <c r="C84" s="34" t="s">
        <v>195</v>
      </c>
      <c r="D84" s="14"/>
      <c r="E84" s="14" t="s">
        <v>23</v>
      </c>
      <c r="AG84" s="23"/>
    </row>
    <row r="85" spans="2:33" ht="16.899999999999999" customHeight="1" x14ac:dyDescent="0.35">
      <c r="B85" s="22"/>
      <c r="E85" s="232" t="s">
        <v>318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23"/>
    </row>
    <row r="86" spans="2:33" ht="16.899999999999999" customHeight="1" x14ac:dyDescent="0.35">
      <c r="B86" s="22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23"/>
    </row>
    <row r="87" spans="2:33" ht="16.899999999999999" customHeight="1" x14ac:dyDescent="0.35">
      <c r="B87" s="22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23"/>
    </row>
    <row r="88" spans="2:33" ht="16.899999999999999" customHeight="1" x14ac:dyDescent="0.35">
      <c r="B88" s="22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23"/>
    </row>
    <row r="89" spans="2:33" ht="16.899999999999999" customHeight="1" x14ac:dyDescent="0.35">
      <c r="B89" s="22"/>
      <c r="AG89" s="23"/>
    </row>
    <row r="90" spans="2:33" ht="16.899999999999999" customHeight="1" x14ac:dyDescent="0.35">
      <c r="B90" s="22"/>
      <c r="C90" s="14" t="s">
        <v>195</v>
      </c>
      <c r="D90" s="14"/>
      <c r="E90" s="14" t="s">
        <v>25</v>
      </c>
      <c r="F90" s="14"/>
      <c r="AG90" s="23"/>
    </row>
    <row r="91" spans="2:33" ht="16.899999999999999" customHeight="1" x14ac:dyDescent="0.35">
      <c r="B91" s="22"/>
      <c r="E91" s="67" t="s">
        <v>240</v>
      </c>
      <c r="F91" s="67"/>
      <c r="G91" s="67"/>
      <c r="H91" s="67"/>
      <c r="I91" s="67"/>
      <c r="J91" s="67"/>
      <c r="K91" s="67"/>
      <c r="L91" s="67"/>
      <c r="M91" s="67"/>
      <c r="N91" s="67"/>
      <c r="O91" s="124"/>
      <c r="P91" s="91">
        <f>MIN(P22,P74,P82)</f>
        <v>9</v>
      </c>
      <c r="Q91" s="91"/>
      <c r="R91" s="91"/>
      <c r="S91" s="91"/>
      <c r="AG91" s="23"/>
    </row>
    <row r="92" spans="2:33" ht="16.899999999999999" customHeight="1" x14ac:dyDescent="0.35">
      <c r="B92" s="22"/>
      <c r="AG92" s="23"/>
    </row>
    <row r="93" spans="2:33" ht="16.899999999999999" customHeight="1" x14ac:dyDescent="0.35">
      <c r="B93" s="22"/>
      <c r="C93" s="53" t="s">
        <v>27</v>
      </c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 t="s">
        <v>28</v>
      </c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23"/>
    </row>
    <row r="94" spans="2:33" ht="16.899999999999999" customHeight="1" x14ac:dyDescent="0.35">
      <c r="B94" s="22"/>
      <c r="C94" s="47">
        <v>1</v>
      </c>
      <c r="D94" s="51" t="s">
        <v>302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23"/>
    </row>
    <row r="95" spans="2:33" ht="16.899999999999999" customHeight="1" x14ac:dyDescent="0.35">
      <c r="B95" s="22"/>
      <c r="C95" s="47">
        <v>2</v>
      </c>
      <c r="D95" s="51" t="s">
        <v>315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23"/>
    </row>
    <row r="96" spans="2:33" ht="16.899999999999999" customHeight="1" x14ac:dyDescent="0.35">
      <c r="B96" s="22"/>
      <c r="C96" s="47">
        <v>3</v>
      </c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23"/>
    </row>
    <row r="97" spans="2:33" ht="16.899999999999999" customHeight="1" x14ac:dyDescent="0.35">
      <c r="B97" s="22"/>
      <c r="C97" s="47">
        <v>4</v>
      </c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23"/>
    </row>
    <row r="98" spans="2:33" ht="16.899999999999999" customHeight="1" x14ac:dyDescent="0.35">
      <c r="B98" s="22"/>
      <c r="C98" s="47">
        <v>5</v>
      </c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 t="s">
        <v>303</v>
      </c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23"/>
    </row>
    <row r="99" spans="2:33" ht="16.899999999999999" customHeight="1" thickBot="1" x14ac:dyDescent="0.4"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9"/>
    </row>
  </sheetData>
  <sheetProtection sheet="1" objects="1" scenarios="1"/>
  <mergeCells count="428">
    <mergeCell ref="U9:W9"/>
    <mergeCell ref="X80:Z80"/>
    <mergeCell ref="AA80:AF80"/>
    <mergeCell ref="N80:R80"/>
    <mergeCell ref="S80:W80"/>
    <mergeCell ref="E78:H78"/>
    <mergeCell ref="I78:M78"/>
    <mergeCell ref="X78:Z78"/>
    <mergeCell ref="AA78:AF78"/>
    <mergeCell ref="E79:H79"/>
    <mergeCell ref="I79:M79"/>
    <mergeCell ref="X79:Z79"/>
    <mergeCell ref="AA79:AF79"/>
    <mergeCell ref="N78:R78"/>
    <mergeCell ref="N79:R79"/>
    <mergeCell ref="S78:W78"/>
    <mergeCell ref="S79:W79"/>
    <mergeCell ref="H11:L11"/>
    <mergeCell ref="M11:P11"/>
    <mergeCell ref="H14:L14"/>
    <mergeCell ref="P22:S22"/>
    <mergeCell ref="X38:Z38"/>
    <mergeCell ref="U39:W39"/>
    <mergeCell ref="U37:W37"/>
    <mergeCell ref="E82:O82"/>
    <mergeCell ref="P82:S82"/>
    <mergeCell ref="E80:H80"/>
    <mergeCell ref="I80:M80"/>
    <mergeCell ref="E30:H30"/>
    <mergeCell ref="N71:P71"/>
    <mergeCell ref="N67:P67"/>
    <mergeCell ref="Q67:T67"/>
    <mergeCell ref="E53:H53"/>
    <mergeCell ref="I53:M53"/>
    <mergeCell ref="E54:H54"/>
    <mergeCell ref="I54:M54"/>
    <mergeCell ref="E50:H50"/>
    <mergeCell ref="I50:M50"/>
    <mergeCell ref="E47:H47"/>
    <mergeCell ref="I47:M47"/>
    <mergeCell ref="E46:H46"/>
    <mergeCell ref="I46:M46"/>
    <mergeCell ref="N69:P69"/>
    <mergeCell ref="Q69:T69"/>
    <mergeCell ref="N38:P38"/>
    <mergeCell ref="N35:P35"/>
    <mergeCell ref="E65:H65"/>
    <mergeCell ref="I65:M65"/>
    <mergeCell ref="E4:F4"/>
    <mergeCell ref="E5:F5"/>
    <mergeCell ref="E26:O26"/>
    <mergeCell ref="P26:S26"/>
    <mergeCell ref="Q28:T28"/>
    <mergeCell ref="U28:W28"/>
    <mergeCell ref="E22:O22"/>
    <mergeCell ref="U19:W19"/>
    <mergeCell ref="U18:W18"/>
    <mergeCell ref="H18:L18"/>
    <mergeCell ref="M18:P18"/>
    <mergeCell ref="E19:G19"/>
    <mergeCell ref="H19:L19"/>
    <mergeCell ref="M19:P19"/>
    <mergeCell ref="E9:G9"/>
    <mergeCell ref="E10:G10"/>
    <mergeCell ref="M10:P10"/>
    <mergeCell ref="E11:G11"/>
    <mergeCell ref="E12:G12"/>
    <mergeCell ref="E13:G13"/>
    <mergeCell ref="E14:G14"/>
    <mergeCell ref="E15:G15"/>
    <mergeCell ref="H4:P4"/>
    <mergeCell ref="E18:G18"/>
    <mergeCell ref="X37:Z37"/>
    <mergeCell ref="X35:Z35"/>
    <mergeCell ref="X36:Z36"/>
    <mergeCell ref="U35:W35"/>
    <mergeCell ref="X33:Z33"/>
    <mergeCell ref="U34:W34"/>
    <mergeCell ref="U33:W33"/>
    <mergeCell ref="X67:Z67"/>
    <mergeCell ref="U64:W64"/>
    <mergeCell ref="X64:Z64"/>
    <mergeCell ref="U65:W65"/>
    <mergeCell ref="X65:Z65"/>
    <mergeCell ref="U57:W57"/>
    <mergeCell ref="U56:W56"/>
    <mergeCell ref="X56:Z56"/>
    <mergeCell ref="U44:W44"/>
    <mergeCell ref="X44:Z44"/>
    <mergeCell ref="Q11:T11"/>
    <mergeCell ref="U69:W69"/>
    <mergeCell ref="X69:Z69"/>
    <mergeCell ref="N66:P66"/>
    <mergeCell ref="X66:Z66"/>
    <mergeCell ref="N68:P68"/>
    <mergeCell ref="X68:Z68"/>
    <mergeCell ref="X71:Z71"/>
    <mergeCell ref="D98:M98"/>
    <mergeCell ref="N98:Q98"/>
    <mergeCell ref="R98:AF98"/>
    <mergeCell ref="I71:M71"/>
    <mergeCell ref="E69:H69"/>
    <mergeCell ref="I69:M69"/>
    <mergeCell ref="E67:H67"/>
    <mergeCell ref="I67:M67"/>
    <mergeCell ref="AA66:AF66"/>
    <mergeCell ref="AA68:AF68"/>
    <mergeCell ref="AA67:AF67"/>
    <mergeCell ref="E68:H68"/>
    <mergeCell ref="AA71:AF71"/>
    <mergeCell ref="E74:O74"/>
    <mergeCell ref="P74:S74"/>
    <mergeCell ref="X70:Z70"/>
    <mergeCell ref="U12:W12"/>
    <mergeCell ref="H9:L9"/>
    <mergeCell ref="M9:P9"/>
    <mergeCell ref="H10:L10"/>
    <mergeCell ref="D94:M94"/>
    <mergeCell ref="N94:Q94"/>
    <mergeCell ref="R94:AF97"/>
    <mergeCell ref="D95:M95"/>
    <mergeCell ref="N95:Q95"/>
    <mergeCell ref="D96:M96"/>
    <mergeCell ref="N96:Q96"/>
    <mergeCell ref="D97:M97"/>
    <mergeCell ref="N97:Q97"/>
    <mergeCell ref="E85:AF88"/>
    <mergeCell ref="E91:O91"/>
    <mergeCell ref="P91:S91"/>
    <mergeCell ref="C93:Q93"/>
    <mergeCell ref="R93:AF93"/>
    <mergeCell ref="H12:L12"/>
    <mergeCell ref="M12:P12"/>
    <mergeCell ref="Q71:T71"/>
    <mergeCell ref="U71:W71"/>
    <mergeCell ref="Q9:T9"/>
    <mergeCell ref="Q10:T10"/>
    <mergeCell ref="U10:W10"/>
    <mergeCell ref="U11:W11"/>
    <mergeCell ref="Q66:T66"/>
    <mergeCell ref="U66:W66"/>
    <mergeCell ref="Q68:T68"/>
    <mergeCell ref="U68:W68"/>
    <mergeCell ref="Q51:T51"/>
    <mergeCell ref="U67:W67"/>
    <mergeCell ref="U38:W38"/>
    <mergeCell ref="U32:W32"/>
    <mergeCell ref="U49:W49"/>
    <mergeCell ref="U16:W16"/>
    <mergeCell ref="U17:W17"/>
    <mergeCell ref="Q16:T16"/>
    <mergeCell ref="Q17:T17"/>
    <mergeCell ref="Q12:T12"/>
    <mergeCell ref="Q13:T13"/>
    <mergeCell ref="Q14:T14"/>
    <mergeCell ref="Q15:T15"/>
    <mergeCell ref="Q18:T18"/>
    <mergeCell ref="Q19:T19"/>
    <mergeCell ref="U15:W15"/>
    <mergeCell ref="U14:W14"/>
    <mergeCell ref="U13:W13"/>
    <mergeCell ref="X9:AC9"/>
    <mergeCell ref="X10:AC10"/>
    <mergeCell ref="X11:AC11"/>
    <mergeCell ref="X12:AC12"/>
    <mergeCell ref="X13:AC13"/>
    <mergeCell ref="X14:AC14"/>
    <mergeCell ref="X15:AC15"/>
    <mergeCell ref="X18:AC18"/>
    <mergeCell ref="X19:AC19"/>
    <mergeCell ref="X16:AC16"/>
    <mergeCell ref="X17:AC17"/>
    <mergeCell ref="M13:P13"/>
    <mergeCell ref="E34:H34"/>
    <mergeCell ref="I34:M34"/>
    <mergeCell ref="N34:P34"/>
    <mergeCell ref="E16:G16"/>
    <mergeCell ref="E17:G17"/>
    <mergeCell ref="H16:L16"/>
    <mergeCell ref="H17:L17"/>
    <mergeCell ref="M16:P16"/>
    <mergeCell ref="M17:P17"/>
    <mergeCell ref="M14:P14"/>
    <mergeCell ref="H15:L15"/>
    <mergeCell ref="I32:M32"/>
    <mergeCell ref="N32:P32"/>
    <mergeCell ref="I33:M33"/>
    <mergeCell ref="N33:P33"/>
    <mergeCell ref="E66:H66"/>
    <mergeCell ref="I66:M66"/>
    <mergeCell ref="I68:M68"/>
    <mergeCell ref="H5:P5"/>
    <mergeCell ref="AA28:AF28"/>
    <mergeCell ref="X28:Z28"/>
    <mergeCell ref="N28:P28"/>
    <mergeCell ref="I28:M28"/>
    <mergeCell ref="E28:H28"/>
    <mergeCell ref="Q43:T43"/>
    <mergeCell ref="U43:W43"/>
    <mergeCell ref="Q40:T40"/>
    <mergeCell ref="I40:M40"/>
    <mergeCell ref="Q42:T42"/>
    <mergeCell ref="E42:H42"/>
    <mergeCell ref="E31:H31"/>
    <mergeCell ref="I31:M31"/>
    <mergeCell ref="N31:P31"/>
    <mergeCell ref="E32:H32"/>
    <mergeCell ref="U30:W30"/>
    <mergeCell ref="Q30:T30"/>
    <mergeCell ref="AA31:AF31"/>
    <mergeCell ref="M15:P15"/>
    <mergeCell ref="H13:L13"/>
    <mergeCell ref="AA32:AF32"/>
    <mergeCell ref="Q36:T36"/>
    <mergeCell ref="AA33:AF33"/>
    <mergeCell ref="AA34:AF34"/>
    <mergeCell ref="E29:H29"/>
    <mergeCell ref="I29:M29"/>
    <mergeCell ref="N29:P29"/>
    <mergeCell ref="X29:Z29"/>
    <mergeCell ref="AA29:AF29"/>
    <mergeCell ref="I30:M30"/>
    <mergeCell ref="N30:P30"/>
    <mergeCell ref="AA30:AF30"/>
    <mergeCell ref="Q34:T34"/>
    <mergeCell ref="Q32:T32"/>
    <mergeCell ref="Q33:T33"/>
    <mergeCell ref="Q31:T31"/>
    <mergeCell ref="U31:W31"/>
    <mergeCell ref="U29:W29"/>
    <mergeCell ref="Q29:T29"/>
    <mergeCell ref="X34:Z34"/>
    <mergeCell ref="X32:Z32"/>
    <mergeCell ref="X30:Z30"/>
    <mergeCell ref="X31:Z31"/>
    <mergeCell ref="E33:H33"/>
    <mergeCell ref="AA38:AF38"/>
    <mergeCell ref="E39:H39"/>
    <mergeCell ref="I39:M39"/>
    <mergeCell ref="N39:P39"/>
    <mergeCell ref="AA39:AF39"/>
    <mergeCell ref="AA35:AF35"/>
    <mergeCell ref="E36:H36"/>
    <mergeCell ref="I36:M36"/>
    <mergeCell ref="N36:P36"/>
    <mergeCell ref="AA36:AF36"/>
    <mergeCell ref="E37:H37"/>
    <mergeCell ref="I37:M37"/>
    <mergeCell ref="N37:P37"/>
    <mergeCell ref="AA37:AF37"/>
    <mergeCell ref="U36:W36"/>
    <mergeCell ref="Q39:T39"/>
    <mergeCell ref="Q38:T38"/>
    <mergeCell ref="E38:H38"/>
    <mergeCell ref="I38:M38"/>
    <mergeCell ref="Q37:T37"/>
    <mergeCell ref="Q35:T35"/>
    <mergeCell ref="E35:H35"/>
    <mergeCell ref="I35:M35"/>
    <mergeCell ref="X39:Z39"/>
    <mergeCell ref="N40:P40"/>
    <mergeCell ref="AA40:AF40"/>
    <mergeCell ref="E41:H41"/>
    <mergeCell ref="I41:M41"/>
    <mergeCell ref="N41:P41"/>
    <mergeCell ref="AA41:AF41"/>
    <mergeCell ref="E40:H40"/>
    <mergeCell ref="U42:W42"/>
    <mergeCell ref="X42:Z42"/>
    <mergeCell ref="I42:M42"/>
    <mergeCell ref="N42:P42"/>
    <mergeCell ref="U41:W41"/>
    <mergeCell ref="X41:Z41"/>
    <mergeCell ref="Q41:T41"/>
    <mergeCell ref="U40:W40"/>
    <mergeCell ref="X40:Z40"/>
    <mergeCell ref="AA46:AF46"/>
    <mergeCell ref="X49:Z49"/>
    <mergeCell ref="AA49:AF49"/>
    <mergeCell ref="N47:P47"/>
    <mergeCell ref="Q47:T47"/>
    <mergeCell ref="N46:P46"/>
    <mergeCell ref="AA42:AF42"/>
    <mergeCell ref="E43:H43"/>
    <mergeCell ref="I43:M43"/>
    <mergeCell ref="N43:P43"/>
    <mergeCell ref="X43:Z43"/>
    <mergeCell ref="AA43:AF43"/>
    <mergeCell ref="AA44:AF44"/>
    <mergeCell ref="E45:H45"/>
    <mergeCell ref="I45:M45"/>
    <mergeCell ref="N45:P45"/>
    <mergeCell ref="Q45:T45"/>
    <mergeCell ref="U45:W45"/>
    <mergeCell ref="X45:Z45"/>
    <mergeCell ref="AA45:AF45"/>
    <mergeCell ref="E44:H44"/>
    <mergeCell ref="I44:M44"/>
    <mergeCell ref="N44:P44"/>
    <mergeCell ref="Q44:T44"/>
    <mergeCell ref="AA48:AF48"/>
    <mergeCell ref="E60:H60"/>
    <mergeCell ref="I60:M60"/>
    <mergeCell ref="N60:P60"/>
    <mergeCell ref="Q60:T60"/>
    <mergeCell ref="AA60:AF60"/>
    <mergeCell ref="X59:Z59"/>
    <mergeCell ref="AA59:AF59"/>
    <mergeCell ref="E58:H58"/>
    <mergeCell ref="I58:M58"/>
    <mergeCell ref="U60:W60"/>
    <mergeCell ref="X60:Z60"/>
    <mergeCell ref="U58:W58"/>
    <mergeCell ref="X58:Z58"/>
    <mergeCell ref="N58:P58"/>
    <mergeCell ref="AA52:AF52"/>
    <mergeCell ref="U53:W53"/>
    <mergeCell ref="X53:Z53"/>
    <mergeCell ref="AA53:AF53"/>
    <mergeCell ref="E49:H49"/>
    <mergeCell ref="I49:M49"/>
    <mergeCell ref="N49:P49"/>
    <mergeCell ref="Q49:T49"/>
    <mergeCell ref="E59:H59"/>
    <mergeCell ref="AA61:AF61"/>
    <mergeCell ref="E62:H62"/>
    <mergeCell ref="I62:M62"/>
    <mergeCell ref="N62:P62"/>
    <mergeCell ref="Q62:T62"/>
    <mergeCell ref="AA62:AF62"/>
    <mergeCell ref="E61:H61"/>
    <mergeCell ref="I61:M61"/>
    <mergeCell ref="X62:Z62"/>
    <mergeCell ref="U62:W62"/>
    <mergeCell ref="U61:W61"/>
    <mergeCell ref="X61:Z61"/>
    <mergeCell ref="AA63:AF63"/>
    <mergeCell ref="E64:H64"/>
    <mergeCell ref="I64:M64"/>
    <mergeCell ref="N64:P64"/>
    <mergeCell ref="Q64:T64"/>
    <mergeCell ref="AA64:AF64"/>
    <mergeCell ref="U63:W63"/>
    <mergeCell ref="X63:Z63"/>
    <mergeCell ref="N63:P63"/>
    <mergeCell ref="E63:H63"/>
    <mergeCell ref="I63:M63"/>
    <mergeCell ref="N65:P65"/>
    <mergeCell ref="Q65:T65"/>
    <mergeCell ref="AA65:AF65"/>
    <mergeCell ref="AA47:AF47"/>
    <mergeCell ref="E48:H48"/>
    <mergeCell ref="I48:M48"/>
    <mergeCell ref="N48:P48"/>
    <mergeCell ref="E70:H70"/>
    <mergeCell ref="I70:M70"/>
    <mergeCell ref="N70:P70"/>
    <mergeCell ref="Q70:T70"/>
    <mergeCell ref="U70:W70"/>
    <mergeCell ref="E52:H52"/>
    <mergeCell ref="I52:M52"/>
    <mergeCell ref="N52:P52"/>
    <mergeCell ref="Q52:T52"/>
    <mergeCell ref="U52:W52"/>
    <mergeCell ref="N50:P50"/>
    <mergeCell ref="Q50:T50"/>
    <mergeCell ref="AA50:AF50"/>
    <mergeCell ref="E51:H51"/>
    <mergeCell ref="I51:M51"/>
    <mergeCell ref="N51:P51"/>
    <mergeCell ref="AA51:AF51"/>
    <mergeCell ref="Q46:T46"/>
    <mergeCell ref="U46:W46"/>
    <mergeCell ref="X46:Z46"/>
    <mergeCell ref="Q63:T63"/>
    <mergeCell ref="Q58:T58"/>
    <mergeCell ref="Q48:T48"/>
    <mergeCell ref="U48:W48"/>
    <mergeCell ref="X48:Z48"/>
    <mergeCell ref="N53:P53"/>
    <mergeCell ref="X52:Z52"/>
    <mergeCell ref="X51:Z51"/>
    <mergeCell ref="X54:Z54"/>
    <mergeCell ref="N54:P54"/>
    <mergeCell ref="U50:W50"/>
    <mergeCell ref="X50:Z50"/>
    <mergeCell ref="U51:W51"/>
    <mergeCell ref="U47:W47"/>
    <mergeCell ref="X47:Z47"/>
    <mergeCell ref="N61:P61"/>
    <mergeCell ref="Q61:T61"/>
    <mergeCell ref="N57:P57"/>
    <mergeCell ref="Q57:T57"/>
    <mergeCell ref="Q54:T54"/>
    <mergeCell ref="Q53:T53"/>
    <mergeCell ref="I59:M59"/>
    <mergeCell ref="N59:P59"/>
    <mergeCell ref="Q59:T59"/>
    <mergeCell ref="U59:W59"/>
    <mergeCell ref="AA58:AF58"/>
    <mergeCell ref="AA56:AF56"/>
    <mergeCell ref="E57:H57"/>
    <mergeCell ref="I57:M57"/>
    <mergeCell ref="AA57:AF57"/>
    <mergeCell ref="N56:P56"/>
    <mergeCell ref="Q56:T56"/>
    <mergeCell ref="AA54:AF54"/>
    <mergeCell ref="E55:H55"/>
    <mergeCell ref="I55:M55"/>
    <mergeCell ref="N55:P55"/>
    <mergeCell ref="Q55:T55"/>
    <mergeCell ref="AA55:AF55"/>
    <mergeCell ref="E56:H56"/>
    <mergeCell ref="I56:M56"/>
    <mergeCell ref="X57:Z57"/>
    <mergeCell ref="U55:W55"/>
    <mergeCell ref="X55:Z55"/>
    <mergeCell ref="U54:W54"/>
    <mergeCell ref="E72:H72"/>
    <mergeCell ref="I72:M72"/>
    <mergeCell ref="N72:P72"/>
    <mergeCell ref="Q72:T72"/>
    <mergeCell ref="U72:W72"/>
    <mergeCell ref="X72:Z72"/>
    <mergeCell ref="AA72:AF72"/>
    <mergeCell ref="E71:H71"/>
    <mergeCell ref="AA69:AF69"/>
    <mergeCell ref="AA70:AF7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3" orientation="portrait" r:id="rId1"/>
  <rowBreaks count="2" manualBreakCount="2">
    <brk id="43" min="1" max="32" man="1"/>
    <brk id="74" min="1" max="32" man="1"/>
  </rowBreaks>
  <ignoredErrors>
    <ignoredError sqref="C76 C84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'DATA VALIDASI'!$C$2:$C$4</xm:f>
          </x14:formula1>
          <xm:sqref>P26:S26</xm:sqref>
        </x14:dataValidation>
        <x14:dataValidation type="list" allowBlank="1" showInputMessage="1" showErrorMessage="1" xr:uid="{00000000-0002-0000-0400-000001000000}">
          <x14:formula1>
            <xm:f>'DATA VALIDASI'!$D$2:$D$12</xm:f>
          </x14:formula1>
          <xm:sqref>U29:W72</xm:sqref>
        </x14:dataValidation>
        <x14:dataValidation type="list" allowBlank="1" showInputMessage="1" showErrorMessage="1" xr:uid="{00000000-0002-0000-0400-000002000000}">
          <x14:formula1>
            <xm:f>'DATA VALIDASI'!$E$2:$E$4</xm:f>
          </x14:formula1>
          <xm:sqref>S79:W80</xm:sqref>
        </x14:dataValidation>
        <x14:dataValidation type="list" allowBlank="1" showInputMessage="1" showErrorMessage="1" xr:uid="{00000000-0002-0000-0400-000003000000}">
          <x14:formula1>
            <xm:f>'DATA VALIDASI'!$B$2:$B$7</xm:f>
          </x14:formula1>
          <xm:sqref>Q10:T19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5"/>
  <sheetViews>
    <sheetView workbookViewId="0">
      <selection activeCell="F7" sqref="F7"/>
    </sheetView>
  </sheetViews>
  <sheetFormatPr defaultRowHeight="14.5" x14ac:dyDescent="0.35"/>
  <cols>
    <col min="2" max="2" width="14.26953125" bestFit="1" customWidth="1"/>
  </cols>
  <sheetData>
    <row r="2" spans="2:6" ht="14.5" customHeight="1" x14ac:dyDescent="0.35">
      <c r="B2" s="1" t="s">
        <v>137</v>
      </c>
      <c r="C2" s="1" t="s">
        <v>196</v>
      </c>
      <c r="D2" s="4" t="s">
        <v>199</v>
      </c>
      <c r="E2" t="s">
        <v>244</v>
      </c>
      <c r="F2" t="s">
        <v>29</v>
      </c>
    </row>
    <row r="3" spans="2:6" ht="14.5" customHeight="1" x14ac:dyDescent="0.35">
      <c r="B3" s="1" t="s">
        <v>138</v>
      </c>
      <c r="C3" s="1" t="s">
        <v>197</v>
      </c>
      <c r="D3" s="4" t="s">
        <v>200</v>
      </c>
      <c r="E3" t="s">
        <v>253</v>
      </c>
      <c r="F3" t="s">
        <v>254</v>
      </c>
    </row>
    <row r="4" spans="2:6" ht="14.5" customHeight="1" x14ac:dyDescent="0.35">
      <c r="B4" s="1" t="s">
        <v>139</v>
      </c>
      <c r="C4" t="s">
        <v>289</v>
      </c>
      <c r="D4" s="4" t="s">
        <v>201</v>
      </c>
      <c r="E4" t="s">
        <v>206</v>
      </c>
    </row>
    <row r="5" spans="2:6" ht="14.5" customHeight="1" x14ac:dyDescent="0.35">
      <c r="B5" s="1" t="s">
        <v>140</v>
      </c>
      <c r="C5" s="1"/>
      <c r="D5" s="4" t="s">
        <v>198</v>
      </c>
    </row>
    <row r="6" spans="2:6" ht="14.5" customHeight="1" x14ac:dyDescent="0.35">
      <c r="B6" s="1" t="s">
        <v>282</v>
      </c>
      <c r="C6" s="1"/>
      <c r="D6" s="4" t="s">
        <v>207</v>
      </c>
    </row>
    <row r="7" spans="2:6" ht="14.5" customHeight="1" x14ac:dyDescent="0.35">
      <c r="B7" s="1" t="s">
        <v>286</v>
      </c>
      <c r="D7" s="4" t="s">
        <v>202</v>
      </c>
    </row>
    <row r="8" spans="2:6" ht="87" x14ac:dyDescent="0.35">
      <c r="D8" s="4" t="s">
        <v>203</v>
      </c>
    </row>
    <row r="9" spans="2:6" ht="14.5" customHeight="1" x14ac:dyDescent="0.35">
      <c r="D9" s="4" t="s">
        <v>204</v>
      </c>
    </row>
    <row r="10" spans="2:6" ht="14.5" customHeight="1" x14ac:dyDescent="0.35">
      <c r="D10" s="4" t="s">
        <v>205</v>
      </c>
    </row>
    <row r="11" spans="2:6" ht="14.5" customHeight="1" x14ac:dyDescent="0.35">
      <c r="D11" s="4" t="str">
        <f>IF($M$23="STPAR","Trip 1 Fasa S &amp; Disusul Trip Fasa RT, Kemudian Reclose","Trip 1 Fasa S &amp; Disusul Trip Fasa RT")</f>
        <v>Trip 1 Fasa S &amp; Disusul Trip Fasa RT</v>
      </c>
    </row>
    <row r="12" spans="2:6" ht="14.5" customHeight="1" x14ac:dyDescent="0.35">
      <c r="D12" s="4" t="s">
        <v>206</v>
      </c>
    </row>
    <row r="13" spans="2:6" ht="14.5" customHeight="1" x14ac:dyDescent="0.35"/>
    <row r="14" spans="2:6" ht="14.5" customHeight="1" x14ac:dyDescent="0.35"/>
    <row r="15" spans="2:6" ht="14.5" customHeight="1" x14ac:dyDescent="0.35"/>
    <row r="16" spans="2:6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  <row r="27" ht="14.5" customHeight="1" x14ac:dyDescent="0.35"/>
    <row r="28" ht="14.5" customHeight="1" x14ac:dyDescent="0.35"/>
    <row r="29" ht="14.5" customHeight="1" x14ac:dyDescent="0.35"/>
    <row r="30" ht="14.5" customHeight="1" x14ac:dyDescent="0.35"/>
    <row r="31" ht="14.5" customHeight="1" x14ac:dyDescent="0.35"/>
    <row r="32" ht="14.5" customHeight="1" x14ac:dyDescent="0.35"/>
    <row r="33" ht="14.5" customHeight="1" x14ac:dyDescent="0.35"/>
    <row r="34" ht="14.5" customHeight="1" x14ac:dyDescent="0.35"/>
    <row r="35" ht="14.5" customHeight="1" x14ac:dyDescent="0.35"/>
    <row r="36" ht="14.5" customHeight="1" x14ac:dyDescent="0.35"/>
    <row r="37" ht="14.5" customHeight="1" x14ac:dyDescent="0.35"/>
    <row r="38" ht="14.5" customHeight="1" x14ac:dyDescent="0.35"/>
    <row r="39" ht="14.5" customHeight="1" x14ac:dyDescent="0.35"/>
    <row r="45" ht="14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</vt:lpstr>
      <vt:lpstr>LCD</vt:lpstr>
      <vt:lpstr>DISTANCE</vt:lpstr>
      <vt:lpstr>OCR-GFR</vt:lpstr>
      <vt:lpstr>UJI FUNGSI</vt:lpstr>
      <vt:lpstr>DATA VALIDASI</vt:lpstr>
      <vt:lpstr>COVER!Print_Area</vt:lpstr>
      <vt:lpstr>DISTANCE!Print_Area</vt:lpstr>
      <vt:lpstr>LCD!Print_Area</vt:lpstr>
      <vt:lpstr>'OCR-GFR'!Print_Area</vt:lpstr>
      <vt:lpstr>'UJI FUNGSI'!Print_Area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DINARA ENGGAR PRABAKTI</dc:creator>
  <cp:lastModifiedBy>edwar dendy vatrizah</cp:lastModifiedBy>
  <cp:lastPrinted>2026-07-23T03:40:04Z</cp:lastPrinted>
  <dcterms:created xsi:type="dcterms:W3CDTF">2024-05-12T11:35:50Z</dcterms:created>
  <dcterms:modified xsi:type="dcterms:W3CDTF">2026-07-23T03:45:16Z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2024-05-12T11:35:53Z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2bfbe0df-0570-4de2-861f-2fa48a100e7b</vt:lpwstr>
  </property>
  <property fmtid="{D5CDD505-2E9C-101B-9397-08002B2CF9AE}" pid="8" name="MSIP_Label_defa4170-0d19-0005-0004-bc88714345d2_ContentBits">
    <vt:lpwstr>0</vt:lpwstr>
  </property>
</Properties>
</file>